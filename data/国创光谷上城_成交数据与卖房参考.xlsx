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成交明细" sheetId="2" state="visible" r:id="rId4"/>
    <sheet name="季度走势" sheetId="3" state="visible" r:id="rId5"/>
    <sheet name="分面积段对比" sheetId="4" state="visible" r:id="rId6"/>
    <sheet name="本案估值" sheetId="5" state="visible" r:id="rId7"/>
    <sheet name="持有vs出售测算" sheetId="6" state="visible" r:id="rId8"/>
  </sheets>
  <definedNames>
    <definedName function="false" hidden="true" localSheetId="1" name="_xlnm._FilterDatabase" vbProcedure="false">成交明细!$A$1:$Y$81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Noto Sans CJK SC"/>
            <family val="2"/>
          </rPr>
          <t xml:space="preserve">按列表缩略图目测，仅供参考。</t>
        </r>
      </text>
    </comment>
    <comment ref="Y1" authorId="0">
      <text>
        <r>
          <rPr>
            <sz val="10"/>
            <rFont val="Noto Sans CJK SC"/>
            <family val="2"/>
          </rPr>
          <t xml:space="preserve">条件在「本案估值」</t>
        </r>
        <r>
          <rPr>
            <sz val="10"/>
            <rFont val="Arial"/>
            <family val="2"/>
          </rPr>
          <t xml:space="preserve">C7:C9 </t>
        </r>
        <r>
          <rPr>
            <sz val="10"/>
            <rFont val="Noto Sans CJK SC"/>
            <family val="2"/>
          </rPr>
          <t xml:space="preserve">设置：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室、面积区间、起始日期。</t>
        </r>
      </text>
    </comment>
  </commentList>
</comments>
</file>

<file path=xl/sharedStrings.xml><?xml version="1.0" encoding="utf-8"?>
<sst xmlns="http://schemas.openxmlformats.org/spreadsheetml/2006/main" count="601" uniqueCount="205">
  <si>
    <t xml:space="preserve">国创光谷上城 二手房成交数据整理（卖房参考）</t>
  </si>
  <si>
    <t xml:space="preserve">数据来源</t>
  </si>
  <si>
    <r>
      <rPr>
        <sz val="10"/>
        <rFont val="Noto Sans CJK SC"/>
        <family val="2"/>
      </rPr>
      <t xml:space="preserve">用户提供的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张经纪 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成交记录截图（截图时间 </t>
    </r>
    <r>
      <rPr>
        <sz val="10"/>
        <rFont val="Arial"/>
        <family val="0"/>
        <charset val="1"/>
      </rPr>
      <t xml:space="preserve">2026-09-30</t>
    </r>
    <r>
      <rPr>
        <sz val="10"/>
        <rFont val="Noto Sans CJK SC"/>
        <family val="2"/>
      </rPr>
      <t xml:space="preserve">），共 </t>
    </r>
    <r>
      <rPr>
        <sz val="10"/>
        <rFont val="Arial"/>
        <family val="0"/>
        <charset val="1"/>
      </rPr>
      <t xml:space="preserve">80 </t>
    </r>
    <r>
      <rPr>
        <sz val="10"/>
        <rFont val="Noto Sans CJK SC"/>
        <family val="2"/>
      </rPr>
      <t xml:space="preserve">条，成交日期 </t>
    </r>
    <r>
      <rPr>
        <sz val="10"/>
        <rFont val="Arial"/>
        <family val="0"/>
        <charset val="1"/>
      </rPr>
      <t xml:space="preserve">2025-02-16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2026-09-10</t>
    </r>
    <r>
      <rPr>
        <sz val="10"/>
        <rFont val="Noto Sans CJK SC"/>
        <family val="2"/>
      </rPr>
      <t xml:space="preserve">。</t>
    </r>
  </si>
  <si>
    <t xml:space="preserve">字段口径</t>
  </si>
  <si>
    <r>
      <rPr>
        <sz val="10"/>
        <rFont val="Noto Sans CJK SC"/>
        <family val="2"/>
      </rPr>
      <t xml:space="preserve">户型「</t>
    </r>
    <r>
      <rPr>
        <sz val="10"/>
        <rFont val="Arial"/>
        <family val="0"/>
        <charset val="1"/>
      </rPr>
      <t xml:space="preserve">3-2-1-2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= 3</t>
    </r>
    <r>
      <rPr>
        <sz val="10"/>
        <rFont val="Noto Sans CJK SC"/>
        <family val="2"/>
      </rPr>
      <t xml:space="preserve">室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厅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厨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卫；楼层仅有高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低三段，截图未给具体层数；单价为平台显示值，另列按 总价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面积 的核算值做校验（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条有 </t>
    </r>
    <r>
      <rPr>
        <sz val="10"/>
        <rFont val="Arial"/>
        <family val="0"/>
        <charset val="1"/>
      </rPr>
      <t xml:space="preserve">2~7 </t>
    </r>
    <r>
      <rPr>
        <sz val="10"/>
        <rFont val="Noto Sans CJK SC"/>
        <family val="2"/>
      </rPr>
      <t xml:space="preserve">元尾差，属平台四舍五入或面积小数位差异）。</t>
    </r>
  </si>
  <si>
    <t xml:space="preserve">状态</t>
  </si>
  <si>
    <r>
      <rPr>
        <sz val="10"/>
        <rFont val="Noto Sans CJK SC"/>
        <family val="2"/>
      </rPr>
      <t xml:space="preserve">「已成交」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已签约未过户（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条，均为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月前后）；其余为「已过户」。第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张截图顶部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条的标签被截断，按已过户记。</t>
    </r>
  </si>
  <si>
    <t xml:space="preserve">可能遗漏</t>
  </si>
  <si>
    <r>
      <rPr>
        <sz val="10"/>
        <rFont val="Noto Sans CJK SC"/>
        <family val="2"/>
      </rPr>
      <t xml:space="preserve">截图之间疑似有未截到的记录：</t>
    </r>
    <r>
      <rPr>
        <sz val="10"/>
        <rFont val="Arial"/>
        <family val="0"/>
        <charset val="1"/>
      </rPr>
      <t xml:space="preserve">2025-07-20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2025-09-09 </t>
    </r>
    <r>
      <rPr>
        <sz val="10"/>
        <rFont val="Noto Sans CJK SC"/>
        <family val="2"/>
      </rPr>
      <t xml:space="preserve">之间（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月无记录）、</t>
    </r>
    <r>
      <rPr>
        <sz val="10"/>
        <rFont val="Arial"/>
        <family val="0"/>
        <charset val="1"/>
      </rPr>
      <t xml:space="preserve">2025-04-06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2025-05-25 </t>
    </r>
    <r>
      <rPr>
        <sz val="10"/>
        <rFont val="Noto Sans CJK SC"/>
        <family val="2"/>
      </rPr>
      <t xml:space="preserve">之间；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月无记录（可能是春节淡季）。统计结论按 </t>
    </r>
    <r>
      <rPr>
        <sz val="10"/>
        <rFont val="Arial"/>
        <family val="0"/>
        <charset val="1"/>
      </rPr>
      <t xml:space="preserve">80 </t>
    </r>
    <r>
      <rPr>
        <sz val="10"/>
        <rFont val="Noto Sans CJK SC"/>
        <family val="2"/>
      </rPr>
      <t xml:space="preserve">条样本，存在样本偏差。</t>
    </r>
  </si>
  <si>
    <t xml:space="preserve">首图观感</t>
  </si>
  <si>
    <r>
      <rPr>
        <sz val="10"/>
        <rFont val="Noto Sans CJK SC"/>
        <family val="2"/>
      </rPr>
      <t xml:space="preserve">按列表缩略图目测：有装修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毛坯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空房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不明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户型图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无图。仅供参考，不代表实际交付标准。</t>
    </r>
  </si>
  <si>
    <t xml:space="preserve">颜色约定</t>
  </si>
  <si>
    <r>
      <rPr>
        <sz val="10"/>
        <rFont val="Noto Sans CJK SC"/>
        <family val="2"/>
      </rPr>
      <t xml:space="preserve">蓝字黄底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可修改的假设或参数；黑字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公式；绿字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引用其他工作表。所有统计与测算均为公式，修改明细或参数后自动重算。</t>
    </r>
  </si>
  <si>
    <t xml:space="preserve">工作表</t>
  </si>
  <si>
    <r>
      <rPr>
        <sz val="10"/>
        <rFont val="Noto Sans CJK SC"/>
        <family val="2"/>
      </rPr>
      <t xml:space="preserve">成交明细 → 季度走势 → 分面积段对比 → 本案估值（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中楼层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南北通透）→ 持有</t>
    </r>
    <r>
      <rPr>
        <sz val="10"/>
        <rFont val="Arial"/>
        <family val="0"/>
        <charset val="1"/>
      </rPr>
      <t xml:space="preserve">vs</t>
    </r>
    <r>
      <rPr>
        <sz val="10"/>
        <rFont val="Noto Sans CJK SC"/>
        <family val="2"/>
      </rPr>
      <t xml:space="preserve">出售测算</t>
    </r>
  </si>
  <si>
    <t xml:space="preserve">免责声明</t>
  </si>
  <si>
    <t xml:space="preserve">本表仅为基于公开成交记录的整理与测算，不构成投资、税务或法律建议；税费、贷款、政策以武汉市不动产登记与税务部门最新口径为准。</t>
  </si>
  <si>
    <t xml:space="preserve">序号</t>
  </si>
  <si>
    <t xml:space="preserve">截图编号</t>
  </si>
  <si>
    <t xml:space="preserve">成交日期</t>
  </si>
  <si>
    <t xml:space="preserve">年份</t>
  </si>
  <si>
    <t xml:space="preserve">季度</t>
  </si>
  <si>
    <t xml:space="preserve">半年</t>
  </si>
  <si>
    <r>
      <rPr>
        <b val="true"/>
        <sz val="10"/>
        <color rgb="FFFFFFFF"/>
        <rFont val="Noto Sans CJK SC"/>
        <family val="2"/>
      </rPr>
      <t xml:space="preserve">户型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原始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</si>
  <si>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室</t>
  </si>
  <si>
    <t xml:space="preserve">厅</t>
  </si>
  <si>
    <t xml:space="preserve">厨</t>
  </si>
  <si>
    <t xml:space="preserve">卫</t>
  </si>
  <si>
    <t xml:space="preserve">户型</t>
  </si>
  <si>
    <r>
      <rPr>
        <b val="true"/>
        <sz val="10"/>
        <color rgb="FFFFFFFF"/>
        <rFont val="Noto Sans CJK SC"/>
        <family val="2"/>
      </rPr>
      <t xml:space="preserve">建筑面积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</si>
  <si>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面积段</t>
  </si>
  <si>
    <t xml:space="preserve">楼层段</t>
  </si>
  <si>
    <t xml:space="preserve">总层数</t>
  </si>
  <si>
    <t xml:space="preserve">朝向</t>
  </si>
  <si>
    <t xml:space="preserve">南北通透</t>
  </si>
  <si>
    <r>
      <rPr>
        <b val="true"/>
        <sz val="10"/>
        <color rgb="FFFFFFFF"/>
        <rFont val="Noto Sans CJK SC"/>
        <family val="2"/>
      </rPr>
      <t xml:space="preserve">首图观感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目测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</si>
  <si>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成交总价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万元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</si>
  <si>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平台单价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</si>
  <si>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核算单价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</si>
  <si>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单价尾差</t>
  </si>
  <si>
    <t xml:space="preserve">本案可比样本</t>
  </si>
  <si>
    <t xml:space="preserve">已成交</t>
  </si>
  <si>
    <t xml:space="preserve">3-2-1-2</t>
  </si>
  <si>
    <t xml:space="preserve">高</t>
  </si>
  <si>
    <t xml:space="preserve">东南</t>
  </si>
  <si>
    <t xml:space="preserve">有装修</t>
  </si>
  <si>
    <t xml:space="preserve">已过户</t>
  </si>
  <si>
    <t xml:space="preserve">2-1-1-1</t>
  </si>
  <si>
    <t xml:space="preserve">南</t>
  </si>
  <si>
    <t xml:space="preserve">中</t>
  </si>
  <si>
    <t xml:space="preserve">低</t>
  </si>
  <si>
    <r>
      <rPr>
        <sz val="10"/>
        <rFont val="Noto Sans CJK SC"/>
        <family val="2"/>
      </rPr>
      <t xml:space="preserve">南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南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北</t>
    </r>
  </si>
  <si>
    <t xml:space="preserve">户型图</t>
  </si>
  <si>
    <t xml:space="preserve">3-2-1-1</t>
  </si>
  <si>
    <t xml:space="preserve">无图</t>
  </si>
  <si>
    <t xml:space="preserve">4-1-1-2</t>
  </si>
  <si>
    <t xml:space="preserve">毛坯</t>
  </si>
  <si>
    <t xml:space="preserve">2-2-1-1</t>
  </si>
  <si>
    <r>
      <rPr>
        <sz val="10"/>
        <rFont val="Noto Sans CJK SC"/>
        <family val="2"/>
      </rPr>
      <t xml:space="preserve">南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北</t>
    </r>
  </si>
  <si>
    <t xml:space="preserve">1-1-1-1</t>
  </si>
  <si>
    <t xml:space="preserve">北</t>
  </si>
  <si>
    <r>
      <rPr>
        <sz val="10"/>
        <rFont val="Noto Sans CJK SC"/>
        <family val="2"/>
      </rPr>
      <t xml:space="preserve">空房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不明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</si>
  <si>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已过户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标签被截断</t>
    </r>
    <r>
      <rPr>
        <sz val="10"/>
        <rFont val="Arial"/>
        <family val="0"/>
        <charset val="1"/>
      </rPr>
      <t xml:space="preserve">)</t>
    </r>
  </si>
  <si>
    <t xml:space="preserve">3-1-1-2</t>
  </si>
  <si>
    <r>
      <rPr>
        <sz val="10"/>
        <rFont val="Noto Sans CJK SC"/>
        <family val="2"/>
      </rPr>
      <t xml:space="preserve">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南</t>
    </r>
  </si>
  <si>
    <t xml:space="preserve">3-1-1-1</t>
  </si>
  <si>
    <t xml:space="preserve">1-1-0-1</t>
  </si>
  <si>
    <r>
      <rPr>
        <sz val="10"/>
        <rFont val="Noto Sans CJK SC"/>
        <family val="2"/>
      </rPr>
      <t xml:space="preserve">东南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南</t>
    </r>
  </si>
  <si>
    <r>
      <rPr>
        <b val="true"/>
        <sz val="14"/>
        <rFont val="Noto Sans CJK SC"/>
        <family val="2"/>
      </rPr>
      <t xml:space="preserve">季度成交走势（全样本 </t>
    </r>
    <r>
      <rPr>
        <b val="true"/>
        <sz val="14"/>
        <rFont val="Arial"/>
        <family val="0"/>
        <charset val="1"/>
      </rPr>
      <t xml:space="preserve">&amp; 106-117</t>
    </r>
    <r>
      <rPr>
        <b val="true"/>
        <sz val="14"/>
        <rFont val="Noto Sans CJK SC"/>
        <family val="2"/>
      </rPr>
      <t xml:space="preserve">㎡ 三房）</t>
    </r>
  </si>
  <si>
    <r>
      <rPr>
        <i val="true"/>
        <sz val="10"/>
        <color rgb="FF666666"/>
        <rFont val="Noto Sans CJK SC"/>
        <family val="2"/>
      </rPr>
      <t xml:space="preserve">注：部分季度样本量很小（≤</t>
    </r>
    <r>
      <rPr>
        <i val="true"/>
        <sz val="10"/>
        <color rgb="FF666666"/>
        <rFont val="Arial"/>
        <family val="0"/>
        <charset val="1"/>
      </rPr>
      <t xml:space="preserve">7 </t>
    </r>
    <r>
      <rPr>
        <i val="true"/>
        <sz val="10"/>
        <color rgb="FF666666"/>
        <rFont val="Noto Sans CJK SC"/>
        <family val="2"/>
      </rPr>
      <t xml:space="preserve">套），单套极端值会明显拉动均价，中位数更稳健；</t>
    </r>
    <r>
      <rPr>
        <i val="true"/>
        <sz val="10"/>
        <color rgb="FF666666"/>
        <rFont val="Arial"/>
        <family val="0"/>
        <charset val="1"/>
      </rPr>
      <t xml:space="preserve">2025Q3 </t>
    </r>
    <r>
      <rPr>
        <i val="true"/>
        <sz val="10"/>
        <color rgb="FF666666"/>
        <rFont val="Noto Sans CJK SC"/>
        <family val="2"/>
      </rPr>
      <t xml:space="preserve">仅含 </t>
    </r>
    <r>
      <rPr>
        <i val="true"/>
        <sz val="10"/>
        <color rgb="FF666666"/>
        <rFont val="Arial"/>
        <family val="0"/>
        <charset val="1"/>
      </rPr>
      <t xml:space="preserve">7 </t>
    </r>
    <r>
      <rPr>
        <i val="true"/>
        <sz val="10"/>
        <color rgb="FF666666"/>
        <rFont val="Noto Sans CJK SC"/>
        <family val="2"/>
      </rPr>
      <t xml:space="preserve">月与 </t>
    </r>
    <r>
      <rPr>
        <i val="true"/>
        <sz val="10"/>
        <color rgb="FF666666"/>
        <rFont val="Arial"/>
        <family val="0"/>
        <charset val="1"/>
      </rPr>
      <t xml:space="preserve">9 </t>
    </r>
    <r>
      <rPr>
        <i val="true"/>
        <sz val="10"/>
        <color rgb="FF666666"/>
        <rFont val="Noto Sans CJK SC"/>
        <family val="2"/>
      </rPr>
      <t xml:space="preserve">月记录。</t>
    </r>
  </si>
  <si>
    <t xml:space="preserve">成交套数</t>
  </si>
  <si>
    <r>
      <rPr>
        <b val="true"/>
        <sz val="10"/>
        <color rgb="FFFFFFFF"/>
        <rFont val="Noto Sans CJK SC"/>
        <family val="2"/>
      </rPr>
      <t xml:space="preserve">面积加权均价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</si>
  <si>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单价中位数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</si>
  <si>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最低单价</t>
  </si>
  <si>
    <t xml:space="preserve">最高单价</t>
  </si>
  <si>
    <r>
      <rPr>
        <b val="true"/>
        <sz val="10"/>
        <color rgb="FFFFFFFF"/>
        <rFont val="Noto Sans CJK SC"/>
        <family val="2"/>
      </rPr>
      <t xml:space="preserve">较</t>
    </r>
    <r>
      <rPr>
        <b val="true"/>
        <sz val="10"/>
        <color rgb="FFFFFFFF"/>
        <rFont val="Arial"/>
        <family val="0"/>
        <charset val="1"/>
      </rPr>
      <t xml:space="preserve">2025Q1 (</t>
    </r>
    <r>
      <rPr>
        <b val="true"/>
        <sz val="10"/>
        <color rgb="FFFFFFFF"/>
        <rFont val="Noto Sans CJK SC"/>
        <family val="2"/>
      </rPr>
      <t xml:space="preserve">加权均价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</si>
  <si>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106-117</t>
    </r>
    <r>
      <rPr>
        <b val="true"/>
        <sz val="10"/>
        <color rgb="FFFFFFFF"/>
        <rFont val="Noto Sans CJK SC"/>
        <family val="2"/>
      </rPr>
      <t xml:space="preserve">㎡ 三房套数</t>
    </r>
  </si>
  <si>
    <r>
      <rPr>
        <b val="true"/>
        <sz val="10"/>
        <color rgb="FFFFFFFF"/>
        <rFont val="Arial"/>
        <family val="0"/>
        <charset val="1"/>
      </rPr>
      <t xml:space="preserve">106-117</t>
    </r>
    <r>
      <rPr>
        <b val="true"/>
        <sz val="10"/>
        <color rgb="FFFFFFFF"/>
        <rFont val="Noto Sans CJK SC"/>
        <family val="2"/>
      </rPr>
      <t xml:space="preserve">㎡ 三房中位数</t>
    </r>
  </si>
  <si>
    <r>
      <rPr>
        <b val="true"/>
        <sz val="10"/>
        <color rgb="FFFFFFFF"/>
        <rFont val="Arial"/>
        <family val="0"/>
        <charset val="1"/>
      </rPr>
      <t xml:space="preserve">106-117</t>
    </r>
    <r>
      <rPr>
        <b val="true"/>
        <sz val="10"/>
        <color rgb="FFFFFFFF"/>
        <rFont val="Noto Sans CJK SC"/>
        <family val="2"/>
      </rPr>
      <t xml:space="preserve">㎡ 较</t>
    </r>
    <r>
      <rPr>
        <b val="true"/>
        <sz val="10"/>
        <color rgb="FFFFFFFF"/>
        <rFont val="Arial"/>
        <family val="0"/>
        <charset val="1"/>
      </rPr>
      <t xml:space="preserve">2025Q1</t>
    </r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</si>
  <si>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</si>
  <si>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</si>
  <si>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</si>
  <si>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</si>
  <si>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</si>
  <si>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</si>
  <si>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</si>
  <si>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半年度汇总</t>
  </si>
  <si>
    <r>
      <rPr>
        <b val="true"/>
        <sz val="10"/>
        <color rgb="FFFFFFFF"/>
        <rFont val="Noto Sans CJK SC"/>
        <family val="2"/>
      </rPr>
      <t xml:space="preserve">较</t>
    </r>
    <r>
      <rPr>
        <b val="true"/>
        <sz val="10"/>
        <color rgb="FFFFFFFF"/>
        <rFont val="Arial"/>
        <family val="0"/>
        <charset val="1"/>
      </rPr>
      <t xml:space="preserve">2025H1 (</t>
    </r>
    <r>
      <rPr>
        <b val="true"/>
        <sz val="10"/>
        <color rgb="FFFFFFFF"/>
        <rFont val="Noto Sans CJK SC"/>
        <family val="2"/>
      </rPr>
      <t xml:space="preserve">中位数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</si>
  <si>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2025H1</t>
  </si>
  <si>
    <t xml:space="preserve">2025H2</t>
  </si>
  <si>
    <t xml:space="preserve">2026H1</t>
  </si>
  <si>
    <t xml:space="preserve">2026H2</t>
  </si>
  <si>
    <r>
      <rPr>
        <i val="true"/>
        <sz val="10"/>
        <color rgb="FF666666"/>
        <rFont val="Arial"/>
        <family val="0"/>
        <charset val="1"/>
      </rPr>
      <t xml:space="preserve">2026H2 </t>
    </r>
    <r>
      <rPr>
        <i val="true"/>
        <sz val="10"/>
        <color rgb="FF666666"/>
        <rFont val="Noto Sans CJK SC"/>
        <family val="2"/>
      </rPr>
      <t xml:space="preserve">目前只含 </t>
    </r>
    <r>
      <rPr>
        <i val="true"/>
        <sz val="10"/>
        <color rgb="FF666666"/>
        <rFont val="Arial"/>
        <family val="0"/>
        <charset val="1"/>
      </rPr>
      <t xml:space="preserve">7-9 </t>
    </r>
    <r>
      <rPr>
        <i val="true"/>
        <sz val="10"/>
        <color rgb="FF666666"/>
        <rFont val="Noto Sans CJK SC"/>
        <family val="2"/>
      </rPr>
      <t xml:space="preserve">月。</t>
    </r>
  </si>
  <si>
    <r>
      <rPr>
        <b val="true"/>
        <sz val="14"/>
        <rFont val="Noto Sans CJK SC"/>
        <family val="2"/>
      </rPr>
      <t xml:space="preserve">分面积段成交单价对比（中位数，元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㎡）</t>
    </r>
  </si>
  <si>
    <r>
      <rPr>
        <i val="true"/>
        <sz val="10"/>
        <color rgb="FF666666"/>
        <rFont val="Noto Sans CJK SC"/>
        <family val="2"/>
      </rPr>
      <t xml:space="preserve">套数与中位数分列；样本少于 </t>
    </r>
    <r>
      <rPr>
        <i val="true"/>
        <sz val="10"/>
        <color rgb="FF666666"/>
        <rFont val="Arial"/>
        <family val="0"/>
        <charset val="1"/>
      </rPr>
      <t xml:space="preserve">3 </t>
    </r>
    <r>
      <rPr>
        <i val="true"/>
        <sz val="10"/>
        <color rgb="FF666666"/>
        <rFont val="Noto Sans CJK SC"/>
        <family val="2"/>
      </rPr>
      <t xml:space="preserve">套的格子参考价值有限。</t>
    </r>
  </si>
  <si>
    <r>
      <rPr>
        <b val="true"/>
        <sz val="10"/>
        <color rgb="FFFFFFFF"/>
        <rFont val="Arial"/>
        <family val="0"/>
        <charset val="1"/>
      </rPr>
      <t xml:space="preserve">2025H1 </t>
    </r>
    <r>
      <rPr>
        <b val="true"/>
        <sz val="10"/>
        <color rgb="FFFFFFFF"/>
        <rFont val="Noto Sans CJK SC"/>
        <family val="2"/>
      </rPr>
      <t xml:space="preserve">套数</t>
    </r>
  </si>
  <si>
    <r>
      <rPr>
        <b val="true"/>
        <sz val="10"/>
        <color rgb="FFFFFFFF"/>
        <rFont val="Arial"/>
        <family val="0"/>
        <charset val="1"/>
      </rPr>
      <t xml:space="preserve">2025H1 </t>
    </r>
    <r>
      <rPr>
        <b val="true"/>
        <sz val="10"/>
        <color rgb="FFFFFFFF"/>
        <rFont val="Noto Sans CJK SC"/>
        <family val="2"/>
      </rPr>
      <t xml:space="preserve">中位数</t>
    </r>
  </si>
  <si>
    <r>
      <rPr>
        <b val="true"/>
        <sz val="10"/>
        <color rgb="FFFFFFFF"/>
        <rFont val="Arial"/>
        <family val="0"/>
        <charset val="1"/>
      </rPr>
      <t xml:space="preserve">2025H2 </t>
    </r>
    <r>
      <rPr>
        <b val="true"/>
        <sz val="10"/>
        <color rgb="FFFFFFFF"/>
        <rFont val="Noto Sans CJK SC"/>
        <family val="2"/>
      </rPr>
      <t xml:space="preserve">套数</t>
    </r>
  </si>
  <si>
    <r>
      <rPr>
        <b val="true"/>
        <sz val="10"/>
        <color rgb="FFFFFFFF"/>
        <rFont val="Arial"/>
        <family val="0"/>
        <charset val="1"/>
      </rPr>
      <t xml:space="preserve">2025H2 </t>
    </r>
    <r>
      <rPr>
        <b val="true"/>
        <sz val="10"/>
        <color rgb="FFFFFFFF"/>
        <rFont val="Noto Sans CJK SC"/>
        <family val="2"/>
      </rPr>
      <t xml:space="preserve">中位数</t>
    </r>
  </si>
  <si>
    <r>
      <rPr>
        <b val="true"/>
        <sz val="10"/>
        <color rgb="FFFFFFFF"/>
        <rFont val="Arial"/>
        <family val="0"/>
        <charset val="1"/>
      </rPr>
      <t xml:space="preserve">2026H1 </t>
    </r>
    <r>
      <rPr>
        <b val="true"/>
        <sz val="10"/>
        <color rgb="FFFFFFFF"/>
        <rFont val="Noto Sans CJK SC"/>
        <family val="2"/>
      </rPr>
      <t xml:space="preserve">套数</t>
    </r>
  </si>
  <si>
    <r>
      <rPr>
        <b val="true"/>
        <sz val="10"/>
        <color rgb="FFFFFFFF"/>
        <rFont val="Arial"/>
        <family val="0"/>
        <charset val="1"/>
      </rPr>
      <t xml:space="preserve">2026H1 </t>
    </r>
    <r>
      <rPr>
        <b val="true"/>
        <sz val="10"/>
        <color rgb="FFFFFFFF"/>
        <rFont val="Noto Sans CJK SC"/>
        <family val="2"/>
      </rPr>
      <t xml:space="preserve">中位数</t>
    </r>
  </si>
  <si>
    <r>
      <rPr>
        <b val="true"/>
        <sz val="10"/>
        <color rgb="FFFFFFFF"/>
        <rFont val="Arial"/>
        <family val="0"/>
        <charset val="1"/>
      </rPr>
      <t xml:space="preserve">2026H2 </t>
    </r>
    <r>
      <rPr>
        <b val="true"/>
        <sz val="10"/>
        <color rgb="FFFFFFFF"/>
        <rFont val="Noto Sans CJK SC"/>
        <family val="2"/>
      </rPr>
      <t xml:space="preserve">套数</t>
    </r>
  </si>
  <si>
    <r>
      <rPr>
        <b val="true"/>
        <sz val="10"/>
        <color rgb="FFFFFFFF"/>
        <rFont val="Arial"/>
        <family val="0"/>
        <charset val="1"/>
      </rPr>
      <t xml:space="preserve">2026H2 </t>
    </r>
    <r>
      <rPr>
        <b val="true"/>
        <sz val="10"/>
        <color rgb="FFFFFFFF"/>
        <rFont val="Noto Sans CJK SC"/>
        <family val="2"/>
      </rPr>
      <t xml:space="preserve">中位数</t>
    </r>
  </si>
  <si>
    <r>
      <rPr>
        <b val="true"/>
        <sz val="10"/>
        <color rgb="FFFFFFFF"/>
        <rFont val="Arial"/>
        <family val="0"/>
        <charset val="1"/>
      </rPr>
      <t xml:space="preserve">2026H2 </t>
    </r>
    <r>
      <rPr>
        <b val="true"/>
        <sz val="10"/>
        <color rgb="FFFFFFFF"/>
        <rFont val="Noto Sans CJK SC"/>
        <family val="2"/>
      </rPr>
      <t xml:space="preserve">较 </t>
    </r>
    <r>
      <rPr>
        <b val="true"/>
        <sz val="10"/>
        <color rgb="FFFFFFFF"/>
        <rFont val="Arial"/>
        <family val="0"/>
        <charset val="1"/>
      </rPr>
      <t xml:space="preserve">2025H1</t>
    </r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</si>
  <si>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㎡以下</t>
    </r>
  </si>
  <si>
    <r>
      <rPr>
        <sz val="10"/>
        <rFont val="Arial"/>
        <family val="0"/>
        <charset val="1"/>
      </rPr>
      <t xml:space="preserve">75-77</t>
    </r>
    <r>
      <rPr>
        <sz val="10"/>
        <rFont val="Noto Sans CJK SC"/>
        <family val="2"/>
      </rPr>
      <t xml:space="preserve">㎡</t>
    </r>
  </si>
  <si>
    <r>
      <rPr>
        <sz val="10"/>
        <rFont val="Arial"/>
        <family val="0"/>
        <charset val="1"/>
      </rPr>
      <t xml:space="preserve">94-97</t>
    </r>
    <r>
      <rPr>
        <sz val="10"/>
        <rFont val="Noto Sans CJK SC"/>
        <family val="2"/>
      </rPr>
      <t xml:space="preserve">㎡</t>
    </r>
  </si>
  <si>
    <r>
      <rPr>
        <sz val="10"/>
        <rFont val="Arial"/>
        <family val="0"/>
        <charset val="1"/>
      </rPr>
      <t xml:space="preserve">106-117</t>
    </r>
    <r>
      <rPr>
        <sz val="10"/>
        <rFont val="Noto Sans CJK SC"/>
        <family val="2"/>
      </rPr>
      <t xml:space="preserve">㎡</t>
    </r>
  </si>
  <si>
    <r>
      <rPr>
        <sz val="10"/>
        <rFont val="Arial"/>
        <family val="0"/>
        <charset val="1"/>
      </rPr>
      <t xml:space="preserve">124</t>
    </r>
    <r>
      <rPr>
        <sz val="10"/>
        <rFont val="Noto Sans CJK SC"/>
        <family val="2"/>
      </rPr>
      <t xml:space="preserve">㎡</t>
    </r>
  </si>
  <si>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㎡以上</t>
    </r>
  </si>
  <si>
    <r>
      <rPr>
        <b val="true"/>
        <sz val="10"/>
        <rFont val="Noto Sans CJK SC"/>
        <family val="2"/>
      </rPr>
      <t xml:space="preserve">朝向与楼层（仅 </t>
    </r>
    <r>
      <rPr>
        <b val="true"/>
        <sz val="10"/>
        <rFont val="Arial"/>
        <family val="0"/>
        <charset val="1"/>
      </rPr>
      <t xml:space="preserve">106-117</t>
    </r>
    <r>
      <rPr>
        <b val="true"/>
        <sz val="10"/>
        <rFont val="Noto Sans CJK SC"/>
        <family val="2"/>
      </rPr>
      <t xml:space="preserve">㎡ 三房，全时段）</t>
    </r>
  </si>
  <si>
    <t xml:space="preserve">维度</t>
  </si>
  <si>
    <t xml:space="preserve">取值</t>
  </si>
  <si>
    <t xml:space="preserve">套数</t>
  </si>
  <si>
    <t xml:space="preserve">是</t>
  </si>
  <si>
    <t xml:space="preserve">否</t>
  </si>
  <si>
    <r>
      <rPr>
        <i val="true"/>
        <sz val="10"/>
        <color rgb="FF666666"/>
        <rFont val="Noto Sans CJK SC"/>
        <family val="2"/>
      </rPr>
      <t xml:space="preserve">注：全时段混合了 </t>
    </r>
    <r>
      <rPr>
        <i val="true"/>
        <sz val="10"/>
        <color rgb="FF666666"/>
        <rFont val="Arial"/>
        <family val="0"/>
        <charset val="1"/>
      </rPr>
      <t xml:space="preserve">2025 </t>
    </r>
    <r>
      <rPr>
        <i val="true"/>
        <sz val="10"/>
        <color rgb="FF666666"/>
        <rFont val="Noto Sans CJK SC"/>
        <family val="2"/>
      </rPr>
      <t xml:space="preserve">年高价期与 </t>
    </r>
    <r>
      <rPr>
        <i val="true"/>
        <sz val="10"/>
        <color rgb="FF666666"/>
        <rFont val="Arial"/>
        <family val="0"/>
        <charset val="1"/>
      </rPr>
      <t xml:space="preserve">2026 </t>
    </r>
    <r>
      <rPr>
        <i val="true"/>
        <sz val="10"/>
        <color rgb="FF666666"/>
        <rFont val="Noto Sans CJK SC"/>
        <family val="2"/>
      </rPr>
      <t xml:space="preserve">年低价期，朝向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</rPr>
      <t xml:space="preserve">楼层差异可能被成交时间差掩盖，只作方向参考。</t>
    </r>
  </si>
  <si>
    <r>
      <rPr>
        <b val="true"/>
        <sz val="14"/>
        <rFont val="Noto Sans CJK SC"/>
        <family val="2"/>
      </rPr>
      <t xml:space="preserve">本案估值：</t>
    </r>
    <r>
      <rPr>
        <b val="true"/>
        <sz val="14"/>
        <rFont val="Arial"/>
        <family val="0"/>
        <charset val="1"/>
      </rPr>
      <t xml:space="preserve">110</t>
    </r>
    <r>
      <rPr>
        <b val="true"/>
        <sz val="14"/>
        <rFont val="Noto Sans CJK SC"/>
        <family val="2"/>
      </rPr>
      <t xml:space="preserve">㎡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中间楼栋 </t>
    </r>
    <r>
      <rPr>
        <b val="true"/>
        <sz val="14"/>
        <rFont val="Arial"/>
        <family val="0"/>
        <charset val="1"/>
      </rPr>
      <t xml:space="preserve">14/33 </t>
    </r>
    <r>
      <rPr>
        <b val="true"/>
        <sz val="14"/>
        <rFont val="Noto Sans CJK SC"/>
        <family val="2"/>
      </rPr>
      <t xml:space="preserve">层（中楼层）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南北通透</t>
    </r>
  </si>
  <si>
    <r>
      <rPr>
        <i val="true"/>
        <sz val="10"/>
        <color rgb="FF666666"/>
        <rFont val="Noto Sans CJK SC"/>
        <family val="2"/>
      </rPr>
      <t xml:space="preserve">黄底蓝字为可调参数。可比样本 </t>
    </r>
    <r>
      <rPr>
        <i val="true"/>
        <sz val="10"/>
        <color rgb="FF666666"/>
        <rFont val="Arial"/>
        <family val="0"/>
        <charset val="1"/>
      </rPr>
      <t xml:space="preserve">= 3</t>
    </r>
    <r>
      <rPr>
        <i val="true"/>
        <sz val="10"/>
        <color rgb="FF666666"/>
        <rFont val="Noto Sans CJK SC"/>
        <family val="2"/>
      </rPr>
      <t xml:space="preserve">室 </t>
    </r>
    <r>
      <rPr>
        <i val="true"/>
        <sz val="10"/>
        <color rgb="FF666666"/>
        <rFont val="Arial"/>
        <family val="0"/>
        <charset val="1"/>
      </rPr>
      <t xml:space="preserve">+ </t>
    </r>
    <r>
      <rPr>
        <i val="true"/>
        <sz val="10"/>
        <color rgb="FF666666"/>
        <rFont val="Noto Sans CJK SC"/>
        <family val="2"/>
      </rPr>
      <t xml:space="preserve">面积区间 </t>
    </r>
    <r>
      <rPr>
        <i val="true"/>
        <sz val="10"/>
        <color rgb="FF666666"/>
        <rFont val="Arial"/>
        <family val="0"/>
        <charset val="1"/>
      </rPr>
      <t xml:space="preserve">+ </t>
    </r>
    <r>
      <rPr>
        <i val="true"/>
        <sz val="10"/>
        <color rgb="FF666666"/>
        <rFont val="Noto Sans CJK SC"/>
        <family val="2"/>
      </rPr>
      <t xml:space="preserve">起始日期之后成交（在「成交明细」</t>
    </r>
    <r>
      <rPr>
        <i val="true"/>
        <sz val="10"/>
        <color rgb="FF666666"/>
        <rFont val="Arial"/>
        <family val="0"/>
        <charset val="1"/>
      </rPr>
      <t xml:space="preserve">Y </t>
    </r>
    <r>
      <rPr>
        <i val="true"/>
        <sz val="10"/>
        <color rgb="FF666666"/>
        <rFont val="Noto Sans CJK SC"/>
        <family val="2"/>
      </rPr>
      <t xml:space="preserve">列标记）。</t>
    </r>
  </si>
  <si>
    <t xml:space="preserve">一、本案与可比条件</t>
  </si>
  <si>
    <r>
      <rPr>
        <sz val="10"/>
        <rFont val="Noto Sans CJK SC"/>
        <family val="2"/>
      </rPr>
      <t xml:space="preserve">本案建筑面积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)</t>
    </r>
  </si>
  <si>
    <t xml:space="preserve">用户给定</t>
  </si>
  <si>
    <t xml:space="preserve">本案楼层</t>
  </si>
  <si>
    <r>
      <rPr>
        <sz val="10"/>
        <color rgb="FF0000FF"/>
        <rFont val="Noto Sans CJK SC"/>
        <family val="2"/>
      </rPr>
      <t xml:space="preserve">中（</t>
    </r>
    <r>
      <rPr>
        <sz val="10"/>
        <color rgb="FF0000FF"/>
        <rFont val="Arial"/>
        <family val="0"/>
        <charset val="1"/>
      </rPr>
      <t xml:space="preserve">14/33</t>
    </r>
    <r>
      <rPr>
        <sz val="10"/>
        <color rgb="FF0000FF"/>
        <rFont val="Noto Sans CJK SC"/>
        <family val="2"/>
      </rPr>
      <t xml:space="preserve">）</t>
    </r>
  </si>
  <si>
    <t xml:space="preserve">用户给定；小区中间楼栋，通常噪音与视野较好</t>
  </si>
  <si>
    <r>
      <rPr>
        <sz val="10"/>
        <rFont val="Noto Sans CJK SC"/>
        <family val="2"/>
      </rPr>
      <t xml:space="preserve">可比样本：最小面积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</si>
  <si>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666666"/>
        <rFont val="Noto Sans CJK SC"/>
        <family val="2"/>
      </rPr>
      <t xml:space="preserve">取 </t>
    </r>
    <r>
      <rPr>
        <i val="true"/>
        <sz val="10"/>
        <color rgb="FF666666"/>
        <rFont val="Arial"/>
        <family val="0"/>
        <charset val="1"/>
      </rPr>
      <t xml:space="preserve">106-117</t>
    </r>
    <r>
      <rPr>
        <i val="true"/>
        <sz val="10"/>
        <color rgb="FF666666"/>
        <rFont val="Noto Sans CJK SC"/>
        <family val="2"/>
      </rPr>
      <t xml:space="preserve">㎡ 大三房（小区 </t>
    </r>
    <r>
      <rPr>
        <i val="true"/>
        <sz val="10"/>
        <color rgb="FF666666"/>
        <rFont val="Arial"/>
        <family val="0"/>
        <charset val="1"/>
      </rPr>
      <t xml:space="preserve">109.99/113.37/115.97/116.04 </t>
    </r>
    <r>
      <rPr>
        <i val="true"/>
        <sz val="10"/>
        <color rgb="FF666666"/>
        <rFont val="Noto Sans CJK SC"/>
        <family val="2"/>
      </rPr>
      <t xml:space="preserve">等户型）</t>
    </r>
  </si>
  <si>
    <r>
      <rPr>
        <sz val="10"/>
        <rFont val="Noto Sans CJK SC"/>
        <family val="2"/>
      </rPr>
      <t xml:space="preserve">可比样本：最大面积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)</t>
    </r>
  </si>
  <si>
    <t xml:space="preserve">可比样本：起始日期</t>
  </si>
  <si>
    <r>
      <rPr>
        <i val="true"/>
        <sz val="10"/>
        <color rgb="FF666666"/>
        <rFont val="Noto Sans CJK SC"/>
        <family val="2"/>
      </rPr>
      <t xml:space="preserve">只取近约 </t>
    </r>
    <r>
      <rPr>
        <i val="true"/>
        <sz val="10"/>
        <color rgb="FF666666"/>
        <rFont val="Arial"/>
        <family val="0"/>
        <charset val="1"/>
      </rPr>
      <t xml:space="preserve">6 </t>
    </r>
    <r>
      <rPr>
        <i val="true"/>
        <sz val="10"/>
        <color rgb="FF666666"/>
        <rFont val="Noto Sans CJK SC"/>
        <family val="2"/>
      </rPr>
      <t xml:space="preserve">个月，反映当前价格水平</t>
    </r>
  </si>
  <si>
    <t xml:space="preserve">近期窗口起始日期</t>
  </si>
  <si>
    <t xml:space="preserve">用于单独观察最近一个季度</t>
  </si>
  <si>
    <t xml:space="preserve">二、可比样本统计</t>
  </si>
  <si>
    <t xml:space="preserve">可比样本套数</t>
  </si>
  <si>
    <r>
      <rPr>
        <sz val="10"/>
        <rFont val="Noto Sans CJK SC"/>
        <family val="2"/>
      </rPr>
      <t xml:space="preserve">可比单价均值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</si>
  <si>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可比单价中位数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</si>
  <si>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可比单价 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分位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</si>
  <si>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可比单价 </t>
    </r>
    <r>
      <rPr>
        <sz val="10"/>
        <rFont val="Arial"/>
        <family val="0"/>
        <charset val="1"/>
      </rPr>
      <t xml:space="preserve">75 </t>
    </r>
    <r>
      <rPr>
        <sz val="10"/>
        <rFont val="Noto Sans CJK SC"/>
        <family val="2"/>
      </rPr>
      <t xml:space="preserve">分位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)</t>
    </r>
  </si>
  <si>
    <t xml:space="preserve">近期窗口可比套数</t>
  </si>
  <si>
    <r>
      <rPr>
        <sz val="10"/>
        <rFont val="Noto Sans CJK SC"/>
        <family val="2"/>
      </rPr>
      <t xml:space="preserve">近期窗口可比均价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)</t>
    </r>
  </si>
  <si>
    <t xml:space="preserve">三、个性化调整（假设，可改）</t>
  </si>
  <si>
    <t xml:space="preserve">南北通透调整</t>
  </si>
  <si>
    <t xml:space="preserve">假设值：样本里南北通透与纯南向差异不显著，给小幅溢价</t>
  </si>
  <si>
    <r>
      <rPr>
        <sz val="10"/>
        <rFont val="Noto Sans CJK SC"/>
        <family val="2"/>
      </rPr>
      <t xml:space="preserve">中楼层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中间楼栋调整</t>
    </r>
  </si>
  <si>
    <r>
      <rPr>
        <i val="true"/>
        <sz val="10"/>
        <color rgb="FF666666"/>
        <rFont val="Noto Sans CJK SC"/>
        <family val="2"/>
      </rPr>
      <t xml:space="preserve">假设值：可比样本含较多高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</rPr>
      <t xml:space="preserve">低楼层</t>
    </r>
  </si>
  <si>
    <t xml:space="preserve">装修状况调整</t>
  </si>
  <si>
    <r>
      <rPr>
        <i val="true"/>
        <sz val="10"/>
        <color rgb="FF666666"/>
        <rFont val="Noto Sans CJK SC"/>
        <family val="2"/>
      </rPr>
      <t xml:space="preserve">请按实际填写：精装保养好可 </t>
    </r>
    <r>
      <rPr>
        <i val="true"/>
        <sz val="10"/>
        <color rgb="FF666666"/>
        <rFont val="Arial"/>
        <family val="0"/>
        <charset val="1"/>
      </rPr>
      <t xml:space="preserve">+2%~+4%</t>
    </r>
    <r>
      <rPr>
        <i val="true"/>
        <sz val="10"/>
        <color rgb="FF666666"/>
        <rFont val="Noto Sans CJK SC"/>
        <family val="2"/>
      </rPr>
      <t xml:space="preserve">，毛坯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</rPr>
      <t xml:space="preserve">老旧 </t>
    </r>
    <r>
      <rPr>
        <i val="true"/>
        <sz val="10"/>
        <color rgb="FF666666"/>
        <rFont val="Arial"/>
        <family val="0"/>
        <charset val="1"/>
      </rPr>
      <t xml:space="preserve">-3%~-5%</t>
    </r>
  </si>
  <si>
    <t xml:space="preserve">合计调整</t>
  </si>
  <si>
    <t xml:space="preserve">四、估值结果</t>
  </si>
  <si>
    <t xml:space="preserve">情形</t>
  </si>
  <si>
    <r>
      <rPr>
        <b val="true"/>
        <sz val="10"/>
        <color rgb="FFFFFFFF"/>
        <rFont val="Noto Sans CJK SC"/>
        <family val="2"/>
      </rPr>
      <t xml:space="preserve">单价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</si>
  <si>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总价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万元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</si>
  <si>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保守（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分位）</t>
    </r>
  </si>
  <si>
    <t xml:space="preserve">中性（中位数）</t>
  </si>
  <si>
    <r>
      <rPr>
        <sz val="10"/>
        <rFont val="Noto Sans CJK SC"/>
        <family val="2"/>
      </rPr>
      <t xml:space="preserve">乐观（</t>
    </r>
    <r>
      <rPr>
        <sz val="10"/>
        <rFont val="Arial"/>
        <family val="0"/>
        <charset val="1"/>
      </rPr>
      <t xml:space="preserve">75 </t>
    </r>
    <r>
      <rPr>
        <sz val="10"/>
        <rFont val="Noto Sans CJK SC"/>
        <family val="2"/>
      </rPr>
      <t xml:space="preserve">分位）</t>
    </r>
  </si>
  <si>
    <t xml:space="preserve">参考：近期窗口均价</t>
  </si>
  <si>
    <t xml:space="preserve">五、挂牌策略参考</t>
  </si>
  <si>
    <t xml:space="preserve">挂牌议价空间</t>
  </si>
  <si>
    <t xml:space="preserve">假设值：挂牌价高于目标成交价的幅度，留给买方砍价</t>
  </si>
  <si>
    <r>
      <rPr>
        <b val="true"/>
        <sz val="10"/>
        <rFont val="Noto Sans CJK SC"/>
        <family val="2"/>
      </rPr>
      <t xml:space="preserve">建议挂牌价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万元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</si>
  <si>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10"/>
        <color rgb="FF666666"/>
        <rFont val="Noto Sans CJK SC"/>
        <family val="2"/>
      </rPr>
      <t xml:space="preserve">中性估值 </t>
    </r>
    <r>
      <rPr>
        <i val="true"/>
        <sz val="10"/>
        <color rgb="FF666666"/>
        <rFont val="Arial"/>
        <family val="0"/>
        <charset val="1"/>
      </rPr>
      <t xml:space="preserve">×</t>
    </r>
    <r>
      <rPr>
        <i val="true"/>
        <sz val="10"/>
        <color rgb="FF666666"/>
        <rFont val="Noto Sans CJK SC"/>
        <family val="2"/>
      </rPr>
      <t xml:space="preserve">（</t>
    </r>
    <r>
      <rPr>
        <i val="true"/>
        <sz val="10"/>
        <color rgb="FF666666"/>
        <rFont val="Arial"/>
        <family val="0"/>
        <charset val="1"/>
      </rPr>
      <t xml:space="preserve">1+</t>
    </r>
    <r>
      <rPr>
        <i val="true"/>
        <sz val="10"/>
        <color rgb="FF666666"/>
        <rFont val="Noto Sans CJK SC"/>
        <family val="2"/>
      </rPr>
      <t xml:space="preserve">议价空间）</t>
    </r>
  </si>
  <si>
    <r>
      <rPr>
        <b val="true"/>
        <sz val="10"/>
        <rFont val="Noto Sans CJK SC"/>
        <family val="2"/>
      </rPr>
      <t xml:space="preserve">目标成交价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万元</t>
    </r>
    <r>
      <rPr>
        <b val="true"/>
        <sz val="10"/>
        <rFont val="Arial"/>
        <family val="0"/>
        <charset val="1"/>
      </rPr>
      <t xml:space="preserve">)</t>
    </r>
  </si>
  <si>
    <t xml:space="preserve">中性估值</t>
  </si>
  <si>
    <r>
      <rPr>
        <b val="true"/>
        <sz val="10"/>
        <rFont val="Noto Sans CJK SC"/>
        <family val="2"/>
      </rPr>
      <t xml:space="preserve">心理底价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万元</t>
    </r>
    <r>
      <rPr>
        <b val="true"/>
        <sz val="10"/>
        <rFont val="Arial"/>
        <family val="0"/>
        <charset val="1"/>
      </rPr>
      <t xml:space="preserve">)</t>
    </r>
  </si>
  <si>
    <t xml:space="preserve">保守估值；低于此价需慎重</t>
  </si>
  <si>
    <r>
      <rPr>
        <b val="true"/>
        <sz val="10"/>
        <rFont val="Noto Sans CJK SC"/>
        <family val="2"/>
      </rPr>
      <t xml:space="preserve">六、默认条件下的可比样本（修改条件后请到「成交明细」按 </t>
    </r>
    <r>
      <rPr>
        <b val="true"/>
        <sz val="10"/>
        <rFont val="Arial"/>
        <family val="0"/>
        <charset val="1"/>
      </rPr>
      <t xml:space="preserve">Y </t>
    </r>
    <r>
      <rPr>
        <b val="true"/>
        <sz val="10"/>
        <rFont val="Noto Sans CJK SC"/>
        <family val="2"/>
      </rPr>
      <t xml:space="preserve">列筛选）</t>
    </r>
  </si>
  <si>
    <r>
      <rPr>
        <b val="true"/>
        <sz val="10"/>
        <color rgb="FFFFFFFF"/>
        <rFont val="Noto Sans CJK SC"/>
        <family val="2"/>
      </rPr>
      <t xml:space="preserve">面积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</si>
  <si>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4"/>
        <rFont val="Noto Sans CJK SC"/>
        <family val="2"/>
      </rPr>
      <t xml:space="preserve">持有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出售：</t>
    </r>
    <r>
      <rPr>
        <b val="true"/>
        <sz val="14"/>
        <rFont val="Arial"/>
        <family val="0"/>
        <charset val="1"/>
      </rPr>
      <t xml:space="preserve">N </t>
    </r>
    <r>
      <rPr>
        <b val="true"/>
        <sz val="14"/>
        <rFont val="Noto Sans CJK SC"/>
        <family val="2"/>
      </rPr>
      <t xml:space="preserve">年后的资产对比（简化模型）</t>
    </r>
  </si>
  <si>
    <r>
      <rPr>
        <i val="true"/>
        <sz val="10"/>
        <color rgb="FF666666"/>
        <rFont val="Noto Sans CJK SC"/>
        <family val="2"/>
      </rPr>
      <t xml:space="preserve">出售方案：现在按估值卖出，扣折扣与交易成本后，资金按年化收益率滚存。持有方案：</t>
    </r>
    <r>
      <rPr>
        <i val="true"/>
        <sz val="10"/>
        <color rgb="FF666666"/>
        <rFont val="Arial"/>
        <family val="0"/>
        <charset val="1"/>
      </rPr>
      <t xml:space="preserve">N </t>
    </r>
    <r>
      <rPr>
        <i val="true"/>
        <sz val="10"/>
        <color rgb="FF666666"/>
        <rFont val="Noto Sans CJK SC"/>
        <family val="2"/>
      </rPr>
      <t xml:space="preserve">年后按变动后的房价卖出，另加 </t>
    </r>
    <r>
      <rPr>
        <i val="true"/>
        <sz val="10"/>
        <color rgb="FF666666"/>
        <rFont val="Arial"/>
        <family val="0"/>
        <charset val="1"/>
      </rPr>
      <t xml:space="preserve">N </t>
    </r>
    <r>
      <rPr>
        <i val="true"/>
        <sz val="10"/>
        <color rgb="FF666666"/>
        <rFont val="Noto Sans CJK SC"/>
        <family val="2"/>
      </rPr>
      <t xml:space="preserve">年净租金（未计租金再投资）。若为自住，把「月租金」理解为自住省下的房租。</t>
    </r>
  </si>
  <si>
    <t xml:space="preserve">参数</t>
  </si>
  <si>
    <r>
      <rPr>
        <sz val="10"/>
        <rFont val="Noto Sans CJK SC"/>
        <family val="2"/>
      </rPr>
      <t xml:space="preserve">当前估值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万元</t>
    </r>
    <r>
      <rPr>
        <sz val="10"/>
        <rFont val="Arial"/>
        <family val="0"/>
        <charset val="1"/>
      </rPr>
      <t xml:space="preserve">)</t>
    </r>
  </si>
  <si>
    <t xml:space="preserve">引自「本案估值」中性估值</t>
  </si>
  <si>
    <r>
      <rPr>
        <sz val="10"/>
        <rFont val="Noto Sans CJK SC"/>
        <family val="2"/>
      </rPr>
      <t xml:space="preserve">本案面积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)</t>
    </r>
  </si>
  <si>
    <t xml:space="preserve">引自「本案估值」</t>
  </si>
  <si>
    <t xml:space="preserve">成交折扣（相对估值让价）</t>
  </si>
  <si>
    <t xml:space="preserve">假设值：出售时通常需在目标价上再让一点</t>
  </si>
  <si>
    <t xml:space="preserve">卖方交易成本</t>
  </si>
  <si>
    <r>
      <rPr>
        <i val="true"/>
        <sz val="10"/>
        <color rgb="FF666666"/>
        <rFont val="Noto Sans CJK SC"/>
        <family val="2"/>
      </rPr>
      <t xml:space="preserve">假设值：中介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</rPr>
      <t xml:space="preserve">杂费等；满五唯一可免个税、满两年免增值税，请以税务口径核实</t>
    </r>
  </si>
  <si>
    <r>
      <rPr>
        <sz val="10"/>
        <rFont val="Noto Sans CJK SC"/>
        <family val="2"/>
      </rPr>
      <t xml:space="preserve">对比年限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（年）</t>
    </r>
  </si>
  <si>
    <r>
      <rPr>
        <i val="true"/>
        <sz val="10"/>
        <color rgb="FF666666"/>
        <rFont val="Noto Sans CJK SC"/>
        <family val="2"/>
      </rPr>
      <t xml:space="preserve">可改为 </t>
    </r>
    <r>
      <rPr>
        <i val="true"/>
        <sz val="10"/>
        <color rgb="FF666666"/>
        <rFont val="Arial"/>
        <family val="0"/>
        <charset val="1"/>
      </rPr>
      <t xml:space="preserve">1~10</t>
    </r>
  </si>
  <si>
    <r>
      <rPr>
        <sz val="10"/>
        <rFont val="Noto Sans CJK SC"/>
        <family val="2"/>
      </rPr>
      <t xml:space="preserve">月租金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</si>
  <si>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666666"/>
        <rFont val="Noto Sans CJK SC"/>
        <family val="2"/>
      </rPr>
      <t xml:space="preserve">假设值：请以贝壳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</rPr>
      <t xml:space="preserve">安居客同户型在租价格核实</t>
    </r>
  </si>
  <si>
    <r>
      <rPr>
        <sz val="10"/>
        <rFont val="Noto Sans CJK SC"/>
        <family val="2"/>
      </rPr>
      <t xml:space="preserve">年空置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</si>
  <si>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t xml:space="preserve">假设值</t>
  </si>
  <si>
    <r>
      <rPr>
        <sz val="10"/>
        <rFont val="Noto Sans CJK SC"/>
        <family val="2"/>
      </rPr>
      <t xml:space="preserve">物业费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</si>
  <si>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666666"/>
        <rFont val="Noto Sans CJK SC"/>
        <family val="2"/>
      </rPr>
      <t xml:space="preserve">来源：房天下小区页物业费 </t>
    </r>
    <r>
      <rPr>
        <i val="true"/>
        <sz val="10"/>
        <color rgb="FF666666"/>
        <rFont val="Arial"/>
        <family val="0"/>
        <charset val="1"/>
      </rPr>
      <t xml:space="preserve">2.8 </t>
    </r>
    <r>
      <rPr>
        <i val="true"/>
        <sz val="10"/>
        <color rgb="FF666666"/>
        <rFont val="Noto Sans CJK SC"/>
        <family val="2"/>
      </rPr>
      <t xml:space="preserve">元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</rPr>
      <t xml:space="preserve">㎡</t>
    </r>
    <r>
      <rPr>
        <i val="true"/>
        <sz val="10"/>
        <color rgb="FF666666"/>
        <rFont val="Arial"/>
        <family val="0"/>
        <charset val="1"/>
      </rPr>
      <t xml:space="preserve">·</t>
    </r>
    <r>
      <rPr>
        <i val="true"/>
        <sz val="10"/>
        <color rgb="FF666666"/>
        <rFont val="Noto Sans CJK SC"/>
        <family val="2"/>
      </rPr>
      <t xml:space="preserve">月</t>
    </r>
  </si>
  <si>
    <r>
      <rPr>
        <sz val="10"/>
        <rFont val="Noto Sans CJK SC"/>
        <family val="2"/>
      </rPr>
      <t xml:space="preserve">年维修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家电折旧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)</t>
    </r>
  </si>
  <si>
    <t xml:space="preserve">卖房资金年化收益率</t>
  </si>
  <si>
    <r>
      <rPr>
        <i val="true"/>
        <sz val="10"/>
        <color rgb="FF666666"/>
        <rFont val="Noto Sans CJK SC"/>
        <family val="2"/>
      </rPr>
      <t xml:space="preserve">假设值：低风险理财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</rPr>
      <t xml:space="preserve">国债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</rPr>
      <t xml:space="preserve">提前还房贷（有房贷时可用房贷利率）</t>
    </r>
  </si>
  <si>
    <t xml:space="preserve">中间结果</t>
  </si>
  <si>
    <r>
      <rPr>
        <sz val="10"/>
        <rFont val="Noto Sans CJK SC"/>
        <family val="2"/>
      </rPr>
      <t xml:space="preserve">年净租金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万元</t>
    </r>
    <r>
      <rPr>
        <sz val="10"/>
        <rFont val="Arial"/>
        <family val="0"/>
        <charset val="1"/>
      </rPr>
      <t xml:space="preserve">)</t>
    </r>
  </si>
  <si>
    <t xml:space="preserve">毛租金 − 空置 − 物业费 − 维修</t>
  </si>
  <si>
    <t xml:space="preserve">净租金收益率</t>
  </si>
  <si>
    <t xml:space="preserve">相对当前估值</t>
  </si>
  <si>
    <r>
      <rPr>
        <sz val="10"/>
        <rFont val="Noto Sans CJK SC"/>
        <family val="2"/>
      </rPr>
      <t xml:space="preserve">出售方案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年后资金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万元</t>
    </r>
    <r>
      <rPr>
        <sz val="10"/>
        <rFont val="Arial"/>
        <family val="0"/>
        <charset val="1"/>
      </rPr>
      <t xml:space="preserve">)</t>
    </r>
  </si>
  <si>
    <t xml:space="preserve">盈亏平衡：房价年变动率</t>
  </si>
  <si>
    <t xml:space="preserve">房价年均变动高于此值 → 持有更划算；低于此值 → 现在卖更划算</t>
  </si>
  <si>
    <t xml:space="preserve">情景对比</t>
  </si>
  <si>
    <t xml:space="preserve">房价年变动率</t>
  </si>
  <si>
    <r>
      <rPr>
        <b val="true"/>
        <sz val="10"/>
        <color rgb="FFFFFFFF"/>
        <rFont val="Arial"/>
        <family val="0"/>
        <charset val="1"/>
      </rPr>
      <t xml:space="preserve">N </t>
    </r>
    <r>
      <rPr>
        <b val="true"/>
        <sz val="10"/>
        <color rgb="FFFFFFFF"/>
        <rFont val="Noto Sans CJK SC"/>
        <family val="2"/>
      </rPr>
      <t xml:space="preserve">年后房价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万元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</si>
  <si>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持有方案 </t>
    </r>
    <r>
      <rPr>
        <b val="true"/>
        <sz val="10"/>
        <color rgb="FFFFFFFF"/>
        <rFont val="Arial"/>
        <family val="0"/>
        <charset val="1"/>
      </rPr>
      <t xml:space="preserve">N </t>
    </r>
    <r>
      <rPr>
        <b val="true"/>
        <sz val="10"/>
        <color rgb="FFFFFFFF"/>
        <rFont val="Noto Sans CJK SC"/>
        <family val="2"/>
      </rPr>
      <t xml:space="preserve">年后资产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万元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</si>
  <si>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出售方案 </t>
    </r>
    <r>
      <rPr>
        <b val="true"/>
        <sz val="10"/>
        <color rgb="FFFFFFFF"/>
        <rFont val="Arial"/>
        <family val="0"/>
        <charset val="1"/>
      </rPr>
      <t xml:space="preserve">N </t>
    </r>
    <r>
      <rPr>
        <b val="true"/>
        <sz val="10"/>
        <color rgb="FFFFFFFF"/>
        <rFont val="Noto Sans CJK SC"/>
        <family val="2"/>
      </rPr>
      <t xml:space="preserve">年后资金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万元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</si>
  <si>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持有 − 出售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万元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</si>
  <si>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结论</t>
  </si>
  <si>
    <r>
      <rPr>
        <i val="true"/>
        <sz val="10"/>
        <color rgb="FF666666"/>
        <rFont val="Noto Sans CJK SC"/>
        <family val="2"/>
      </rPr>
      <t xml:space="preserve">说明：模型未计入房贷利息（如有房贷，把 </t>
    </r>
    <r>
      <rPr>
        <i val="true"/>
        <sz val="10"/>
        <color rgb="FF666666"/>
        <rFont val="Arial"/>
        <family val="0"/>
        <charset val="1"/>
      </rPr>
      <t xml:space="preserve">B14 </t>
    </r>
    <r>
      <rPr>
        <i val="true"/>
        <sz val="10"/>
        <color rgb="FF666666"/>
        <rFont val="Noto Sans CJK SC"/>
        <family val="2"/>
      </rPr>
      <t xml:space="preserve">改成房贷利率更贴近真实机会成本）、未计入换房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</rPr>
      <t xml:space="preserve">搬家成本和自住效用；只用于量化「房价要涨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</rPr>
      <t xml:space="preserve">跌多少才值得继续拿着」。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</si>
</sst>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\-dd"/>
    <numFmt numFmtId="166" formatCode="0.00"/>
    <numFmt numFmtId="167" formatCode="0.0"/>
    <numFmt numFmtId="168" formatCode="#,##0"/>
    <numFmt numFmtId="169" formatCode="0;\-0;\-"/>
    <numFmt numFmtId="170" formatCode="0.0%;\-0.0%;\-"/>
    <numFmt numFmtId="171" formatCode="0"/>
    <numFmt numFmtId="172" formatCode="0.0%"/>
    <numFmt numFmtId="173" formatCode="0.00%"/>
    <numFmt numFmtId="174" formatCode="0.0%;\-0.0%;0.0%"/>
    <numFmt numFmtId="175" formatCode="0.0;\-0.0;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i val="true"/>
      <sz val="10"/>
      <color rgb="FF666666"/>
      <name val="Noto Sans CJK SC"/>
      <family val="2"/>
    </font>
    <font>
      <i val="true"/>
      <sz val="10"/>
      <color rgb="FF666666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0"/>
      <color rgb="FF008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季度成交单价走势（元/㎡）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季度走势!C4</c:f>
              <c:strCache>
                <c:ptCount val="1"/>
                <c:pt idx="0">
                  <c:v>面积加权均价(元/㎡)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季度走势!$A$5:$A$11</c:f>
              <c:strCache>
                <c:ptCount val="7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</c:strCache>
            </c:strRef>
          </c:cat>
          <c:val>
            <c:numRef>
              <c:f>季度走势!$C$5:$C$11</c:f>
              <c:numCache>
                <c:formatCode>#,##0</c:formatCode>
                <c:ptCount val="7"/>
                <c:pt idx="0">
                  <c:v>14022.1107454389</c:v>
                </c:pt>
                <c:pt idx="1">
                  <c:v>13801.2467913458</c:v>
                </c:pt>
                <c:pt idx="2">
                  <c:v>13300.0842933408</c:v>
                </c:pt>
                <c:pt idx="3">
                  <c:v>11473.1885321778</c:v>
                </c:pt>
                <c:pt idx="4">
                  <c:v>11172.4471618025</c:v>
                </c:pt>
                <c:pt idx="5">
                  <c:v>11775.7113736003</c:v>
                </c:pt>
                <c:pt idx="6">
                  <c:v>11972.6239927932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季度走势!I4</c:f>
              <c:strCache>
                <c:ptCount val="1"/>
                <c:pt idx="0">
                  <c:v>106-117㎡ 三房中位数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季度走势!$A$5:$A$11</c:f>
              <c:strCache>
                <c:ptCount val="7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</c:strCache>
            </c:strRef>
          </c:cat>
          <c:val>
            <c:numRef>
              <c:f>季度走势!$I$5:$I$11</c:f>
              <c:numCache>
                <c:formatCode>#,##0</c:formatCode>
                <c:ptCount val="7"/>
                <c:pt idx="0">
                  <c:v>14559</c:v>
                </c:pt>
                <c:pt idx="1">
                  <c:v>14113</c:v>
                </c:pt>
                <c:pt idx="2">
                  <c:v>14113</c:v>
                </c:pt>
                <c:pt idx="3">
                  <c:v>12323</c:v>
                </c:pt>
                <c:pt idx="4">
                  <c:v>11438.5</c:v>
                </c:pt>
                <c:pt idx="5">
                  <c:v>11418.5</c:v>
                </c:pt>
                <c:pt idx="6">
                  <c:v>12293.5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394921"/>
        <c:axId val="6994419"/>
      </c:lineChart>
      <c:catAx>
        <c:axId val="35394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季度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4419"/>
        <c:crosses val="autoZero"/>
        <c:auto val="1"/>
        <c:lblAlgn val="ctr"/>
        <c:lblOffset val="100"/>
        <c:noMultiLvlLbl val="0"/>
      </c:catAx>
      <c:valAx>
        <c:axId val="6994419"/>
        <c:scaling>
          <c:orientation val="minMax"/>
          <c:max val="15000"/>
          <c:min val="9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元/㎡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94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季度成交套数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季度走势!B4</c:f>
              <c:strCache>
                <c:ptCount val="1"/>
                <c:pt idx="0">
                  <c:v>成交套数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季度走势!$A$5:$A$11</c:f>
              <c:strCache>
                <c:ptCount val="7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</c:strCache>
            </c:strRef>
          </c:cat>
          <c:val>
            <c:numRef>
              <c:f>季度走势!$B$5:$B$11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23</c:v>
                </c:pt>
                <c:pt idx="4">
                  <c:v>9</c:v>
                </c:pt>
                <c:pt idx="5">
                  <c:v>10</c:v>
                </c:pt>
                <c:pt idx="6">
                  <c:v>17</c:v>
                </c:pt>
              </c:numCache>
            </c:numRef>
          </c:val>
        </c:ser>
        <c:gapWidth val="150"/>
        <c:overlap val="0"/>
        <c:axId val="15140434"/>
        <c:axId val="77984448"/>
      </c:barChart>
      <c:catAx>
        <c:axId val="151404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84448"/>
        <c:crosses val="autoZero"/>
        <c:auto val="1"/>
        <c:lblAlgn val="ctr"/>
        <c:lblOffset val="100"/>
        <c:noMultiLvlLbl val="0"/>
      </c:catAx>
      <c:valAx>
        <c:axId val="77984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404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108720</xdr:rowOff>
    </xdr:from>
    <xdr:to>
      <xdr:col>7</xdr:col>
      <xdr:colOff>276840</xdr:colOff>
      <xdr:row>35</xdr:row>
      <xdr:rowOff>120240</xdr:rowOff>
    </xdr:to>
    <xdr:graphicFrame>
      <xdr:nvGraphicFramePr>
        <xdr:cNvPr id="0" name="Chart 1"/>
        <xdr:cNvGraphicFramePr/>
      </xdr:nvGraphicFramePr>
      <xdr:xfrm>
        <a:off x="0" y="421020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108720</xdr:rowOff>
    </xdr:from>
    <xdr:to>
      <xdr:col>11</xdr:col>
      <xdr:colOff>606960</xdr:colOff>
      <xdr:row>35</xdr:row>
      <xdr:rowOff>120240</xdr:rowOff>
    </xdr:to>
    <xdr:graphicFrame>
      <xdr:nvGraphicFramePr>
        <xdr:cNvPr id="1" name="Chart 2"/>
        <xdr:cNvGraphicFramePr/>
      </xdr:nvGraphicFramePr>
      <xdr:xfrm>
        <a:off x="6202800" y="421020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42" hidden="false" customHeight="true" outlineLevel="0" collapsed="false">
      <c r="A3" s="2" t="s">
        <v>1</v>
      </c>
      <c r="B3" s="3" t="s">
        <v>2</v>
      </c>
    </row>
    <row r="4" customFormat="false" ht="42" hidden="false" customHeight="true" outlineLevel="0" collapsed="false">
      <c r="A4" s="2" t="s">
        <v>3</v>
      </c>
      <c r="B4" s="3" t="s">
        <v>4</v>
      </c>
    </row>
    <row r="5" customFormat="false" ht="42" hidden="false" customHeight="true" outlineLevel="0" collapsed="false">
      <c r="A5" s="2" t="s">
        <v>5</v>
      </c>
      <c r="B5" s="3" t="s">
        <v>6</v>
      </c>
    </row>
    <row r="6" customFormat="false" ht="42" hidden="false" customHeight="true" outlineLevel="0" collapsed="false">
      <c r="A6" s="2" t="s">
        <v>7</v>
      </c>
      <c r="B6" s="3" t="s">
        <v>8</v>
      </c>
    </row>
    <row r="7" customFormat="false" ht="42" hidden="false" customHeight="true" outlineLevel="0" collapsed="false">
      <c r="A7" s="2" t="s">
        <v>9</v>
      </c>
      <c r="B7" s="3" t="s">
        <v>10</v>
      </c>
    </row>
    <row r="8" customFormat="false" ht="42" hidden="false" customHeight="true" outlineLevel="0" collapsed="false">
      <c r="A8" s="2" t="s">
        <v>11</v>
      </c>
      <c r="B8" s="3" t="s">
        <v>12</v>
      </c>
    </row>
    <row r="9" customFormat="false" ht="42" hidden="false" customHeight="true" outlineLevel="0" collapsed="false">
      <c r="A9" s="2" t="s">
        <v>13</v>
      </c>
      <c r="B9" s="3" t="s">
        <v>14</v>
      </c>
    </row>
    <row r="10" customFormat="false" ht="42" hidden="false" customHeight="tru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2" min="9" style="0" width="5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7" min="16" style="0" width="7"/>
    <col collapsed="false" customWidth="true" hidden="false" outlineLevel="0" max="18" min="18" style="0" width="10"/>
    <col collapsed="false" customWidth="true" hidden="false" outlineLevel="0" max="19" min="19" style="0" width="8"/>
    <col collapsed="false" customWidth="true" hidden="false" outlineLevel="0" max="20" min="20" style="0" width="13"/>
    <col collapsed="false" customWidth="true" hidden="false" outlineLevel="0" max="23" min="21" style="0" width="12"/>
    <col collapsed="false" customWidth="true" hidden="false" outlineLevel="0" max="24" min="24" style="0" width="8"/>
    <col collapsed="false" customWidth="true" hidden="false" outlineLevel="0" max="25" min="25" style="0" width="11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5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4" t="s">
        <v>40</v>
      </c>
    </row>
    <row r="2" customFormat="false" ht="15" hidden="false" customHeight="false" outlineLevel="0" collapsed="false">
      <c r="A2" s="5" t="n">
        <v>1</v>
      </c>
      <c r="B2" s="5" t="n">
        <v>1</v>
      </c>
      <c r="C2" s="6" t="s">
        <v>41</v>
      </c>
      <c r="D2" s="7" t="n">
        <v>46275</v>
      </c>
      <c r="E2" s="6" t="n">
        <f aca="false">YEAR(D2)</f>
        <v>2026</v>
      </c>
      <c r="F2" s="6" t="str">
        <f aca="false">YEAR(D2)&amp;"Q"&amp;ROUNDUP(MONTH(D2)/3,0)</f>
        <v>2026Q3</v>
      </c>
      <c r="G2" s="6" t="str">
        <f aca="false">YEAR(D2)&amp;"H"&amp;IF(MONTH(D2)&lt;=6,1,2)</f>
        <v>2026H2</v>
      </c>
      <c r="H2" s="5" t="s">
        <v>42</v>
      </c>
      <c r="I2" s="6" t="n">
        <v>3</v>
      </c>
      <c r="J2" s="6" t="n">
        <v>2</v>
      </c>
      <c r="K2" s="6" t="n">
        <v>1</v>
      </c>
      <c r="L2" s="6" t="n">
        <v>2</v>
      </c>
      <c r="M2" s="6" t="str">
        <f aca="false">I2&amp;"室"&amp;J2&amp;"厅"&amp;L2&amp;"卫"</f>
        <v>3室2厅2卫</v>
      </c>
      <c r="N2" s="8" t="n">
        <v>113.37</v>
      </c>
      <c r="O2" s="6" t="str">
        <f aca="false">IF(N2&lt;60,"60㎡以下",IF(N2&lt;90,"75-77㎡",IF(N2&lt;100,"94-97㎡",IF(N2&lt;120,"106-117㎡",IF(N2&lt;150,"124㎡","150㎡以上")))))</f>
        <v>106-117㎡</v>
      </c>
      <c r="P2" s="6" t="s">
        <v>43</v>
      </c>
      <c r="Q2" s="6" t="n">
        <v>33</v>
      </c>
      <c r="R2" s="6" t="s">
        <v>44</v>
      </c>
      <c r="S2" s="6" t="str">
        <f aca="false">IF(AND(ISNUMBER(SEARCH("南",R2)),ISNUMBER(SEARCH("北",R2))),"是","否")</f>
        <v>否</v>
      </c>
      <c r="T2" s="6" t="s">
        <v>45</v>
      </c>
      <c r="U2" s="9" t="n">
        <v>137</v>
      </c>
      <c r="V2" s="10" t="n">
        <v>12084</v>
      </c>
      <c r="W2" s="10" t="n">
        <f aca="false">ROUND(U2*10000/N2,0)</f>
        <v>12084</v>
      </c>
      <c r="X2" s="11" t="n">
        <f aca="false">W2-V2</f>
        <v>0</v>
      </c>
      <c r="Y2" s="6" t="str">
        <f aca="false">IF(AND(I2=3,N2&gt;=本案估值!$C$7,N2&lt;=本案估值!$C$8,D2&gt;=本案估值!$C$9),"是","否")</f>
        <v>是</v>
      </c>
    </row>
    <row r="3" customFormat="false" ht="15" hidden="false" customHeight="false" outlineLevel="0" collapsed="false">
      <c r="A3" s="12" t="n">
        <v>2</v>
      </c>
      <c r="B3" s="12" t="n">
        <v>1</v>
      </c>
      <c r="C3" s="13" t="s">
        <v>46</v>
      </c>
      <c r="D3" s="14" t="n">
        <v>46269</v>
      </c>
      <c r="E3" s="13" t="n">
        <f aca="false">YEAR(D3)</f>
        <v>2026</v>
      </c>
      <c r="F3" s="13" t="str">
        <f aca="false">YEAR(D3)&amp;"Q"&amp;ROUNDUP(MONTH(D3)/3,0)</f>
        <v>2026Q3</v>
      </c>
      <c r="G3" s="13" t="str">
        <f aca="false">YEAR(D3)&amp;"H"&amp;IF(MONTH(D3)&lt;=6,1,2)</f>
        <v>2026H2</v>
      </c>
      <c r="H3" s="12" t="s">
        <v>47</v>
      </c>
      <c r="I3" s="13" t="n">
        <v>2</v>
      </c>
      <c r="J3" s="13" t="n">
        <v>1</v>
      </c>
      <c r="K3" s="13" t="n">
        <v>1</v>
      </c>
      <c r="L3" s="13" t="n">
        <v>1</v>
      </c>
      <c r="M3" s="13" t="str">
        <f aca="false">I3&amp;"室"&amp;J3&amp;"厅"&amp;L3&amp;"卫"</f>
        <v>2室1厅1卫</v>
      </c>
      <c r="N3" s="15" t="n">
        <v>76.1</v>
      </c>
      <c r="O3" s="13" t="str">
        <f aca="false">IF(N3&lt;60,"60㎡以下",IF(N3&lt;90,"75-77㎡",IF(N3&lt;100,"94-97㎡",IF(N3&lt;120,"106-117㎡",IF(N3&lt;150,"124㎡","150㎡以上")))))</f>
        <v>75-77㎡</v>
      </c>
      <c r="P3" s="13" t="s">
        <v>43</v>
      </c>
      <c r="Q3" s="13" t="n">
        <v>33</v>
      </c>
      <c r="R3" s="13" t="s">
        <v>48</v>
      </c>
      <c r="S3" s="13" t="str">
        <f aca="false">IF(AND(ISNUMBER(SEARCH("南",R3)),ISNUMBER(SEARCH("北",R3))),"是","否")</f>
        <v>否</v>
      </c>
      <c r="T3" s="13" t="s">
        <v>45</v>
      </c>
      <c r="U3" s="16" t="n">
        <v>81</v>
      </c>
      <c r="V3" s="17" t="n">
        <v>10644</v>
      </c>
      <c r="W3" s="17" t="n">
        <f aca="false">ROUND(U3*10000/N3,0)</f>
        <v>10644</v>
      </c>
      <c r="X3" s="18" t="n">
        <f aca="false">W3-V3</f>
        <v>0</v>
      </c>
      <c r="Y3" s="13" t="str">
        <f aca="false">IF(AND(I3=3,N3&gt;=本案估值!$C$7,N3&lt;=本案估值!$C$8,D3&gt;=本案估值!$C$9),"是","否")</f>
        <v>否</v>
      </c>
    </row>
    <row r="4" customFormat="false" ht="15" hidden="false" customHeight="false" outlineLevel="0" collapsed="false">
      <c r="A4" s="6" t="n">
        <v>3</v>
      </c>
      <c r="B4" s="6" t="n">
        <v>1</v>
      </c>
      <c r="C4" s="6" t="s">
        <v>41</v>
      </c>
      <c r="D4" s="7" t="n">
        <v>46262</v>
      </c>
      <c r="E4" s="6" t="n">
        <f aca="false">YEAR(D4)</f>
        <v>2026</v>
      </c>
      <c r="F4" s="6" t="str">
        <f aca="false">YEAR(D4)&amp;"Q"&amp;ROUNDUP(MONTH(D4)/3,0)</f>
        <v>2026Q3</v>
      </c>
      <c r="G4" s="6" t="str">
        <f aca="false">YEAR(D4)&amp;"H"&amp;IF(MONTH(D4)&lt;=6,1,2)</f>
        <v>2026H2</v>
      </c>
      <c r="H4" s="5" t="s">
        <v>42</v>
      </c>
      <c r="I4" s="6" t="n">
        <v>3</v>
      </c>
      <c r="J4" s="6" t="n">
        <v>2</v>
      </c>
      <c r="K4" s="6" t="n">
        <v>1</v>
      </c>
      <c r="L4" s="6" t="n">
        <v>2</v>
      </c>
      <c r="M4" s="6" t="str">
        <f aca="false">I4&amp;"室"&amp;J4&amp;"厅"&amp;L4&amp;"卫"</f>
        <v>3室2厅2卫</v>
      </c>
      <c r="N4" s="8" t="n">
        <v>109.99</v>
      </c>
      <c r="O4" s="6" t="str">
        <f aca="false">IF(N4&lt;60,"60㎡以下",IF(N4&lt;90,"75-77㎡",IF(N4&lt;100,"94-97㎡",IF(N4&lt;120,"106-117㎡",IF(N4&lt;150,"124㎡","150㎡以上")))))</f>
        <v>106-117㎡</v>
      </c>
      <c r="P4" s="6" t="s">
        <v>49</v>
      </c>
      <c r="Q4" s="6" t="n">
        <v>33</v>
      </c>
      <c r="R4" s="6" t="s">
        <v>48</v>
      </c>
      <c r="S4" s="6" t="str">
        <f aca="false">IF(AND(ISNUMBER(SEARCH("南",R4)),ISNUMBER(SEARCH("北",R4))),"是","否")</f>
        <v>否</v>
      </c>
      <c r="T4" s="6" t="s">
        <v>45</v>
      </c>
      <c r="U4" s="9" t="n">
        <v>140</v>
      </c>
      <c r="V4" s="10" t="n">
        <v>12728</v>
      </c>
      <c r="W4" s="10" t="n">
        <f aca="false">ROUND(U4*10000/N4,0)</f>
        <v>12728</v>
      </c>
      <c r="X4" s="11" t="n">
        <f aca="false">W4-V4</f>
        <v>0</v>
      </c>
      <c r="Y4" s="6" t="str">
        <f aca="false">IF(AND(I4=3,N4&gt;=本案估值!$C$7,N4&lt;=本案估值!$C$8,D4&gt;=本案估值!$C$9),"是","否")</f>
        <v>是</v>
      </c>
    </row>
    <row r="5" customFormat="false" ht="15" hidden="false" customHeight="false" outlineLevel="0" collapsed="false">
      <c r="A5" s="13" t="n">
        <v>4</v>
      </c>
      <c r="B5" s="13" t="n">
        <v>1</v>
      </c>
      <c r="C5" s="13" t="s">
        <v>46</v>
      </c>
      <c r="D5" s="14" t="n">
        <v>46261</v>
      </c>
      <c r="E5" s="13" t="n">
        <f aca="false">YEAR(D5)</f>
        <v>2026</v>
      </c>
      <c r="F5" s="13" t="str">
        <f aca="false">YEAR(D5)&amp;"Q"&amp;ROUNDUP(MONTH(D5)/3,0)</f>
        <v>2026Q3</v>
      </c>
      <c r="G5" s="13" t="str">
        <f aca="false">YEAR(D5)&amp;"H"&amp;IF(MONTH(D5)&lt;=6,1,2)</f>
        <v>2026H2</v>
      </c>
      <c r="H5" s="12" t="s">
        <v>42</v>
      </c>
      <c r="I5" s="13" t="n">
        <v>3</v>
      </c>
      <c r="J5" s="13" t="n">
        <v>2</v>
      </c>
      <c r="K5" s="13" t="n">
        <v>1</v>
      </c>
      <c r="L5" s="13" t="n">
        <v>2</v>
      </c>
      <c r="M5" s="13" t="str">
        <f aca="false">I5&amp;"室"&amp;J5&amp;"厅"&amp;L5&amp;"卫"</f>
        <v>3室2厅2卫</v>
      </c>
      <c r="N5" s="15" t="n">
        <v>115.97</v>
      </c>
      <c r="O5" s="13" t="str">
        <f aca="false">IF(N5&lt;60,"60㎡以下",IF(N5&lt;90,"75-77㎡",IF(N5&lt;100,"94-97㎡",IF(N5&lt;120,"106-117㎡",IF(N5&lt;150,"124㎡","150㎡以上")))))</f>
        <v>106-117㎡</v>
      </c>
      <c r="P5" s="13" t="s">
        <v>50</v>
      </c>
      <c r="Q5" s="13" t="n">
        <v>33</v>
      </c>
      <c r="R5" s="13" t="s">
        <v>51</v>
      </c>
      <c r="S5" s="13" t="str">
        <f aca="false">IF(AND(ISNUMBER(SEARCH("南",R5)),ISNUMBER(SEARCH("北",R5))),"是","否")</f>
        <v>是</v>
      </c>
      <c r="T5" s="13" t="s">
        <v>45</v>
      </c>
      <c r="U5" s="16" t="n">
        <v>145</v>
      </c>
      <c r="V5" s="17" t="n">
        <v>12503</v>
      </c>
      <c r="W5" s="17" t="n">
        <f aca="false">ROUND(U5*10000/N5,0)</f>
        <v>12503</v>
      </c>
      <c r="X5" s="18" t="n">
        <f aca="false">W5-V5</f>
        <v>0</v>
      </c>
      <c r="Y5" s="13" t="str">
        <f aca="false">IF(AND(I5=3,N5&gt;=本案估值!$C$7,N5&lt;=本案估值!$C$8,D5&gt;=本案估值!$C$9),"是","否")</f>
        <v>是</v>
      </c>
    </row>
    <row r="6" customFormat="false" ht="15" hidden="false" customHeight="false" outlineLevel="0" collapsed="false">
      <c r="A6" s="6" t="n">
        <v>5</v>
      </c>
      <c r="B6" s="6" t="n">
        <v>2</v>
      </c>
      <c r="C6" s="6" t="s">
        <v>46</v>
      </c>
      <c r="D6" s="7" t="n">
        <v>46259</v>
      </c>
      <c r="E6" s="6" t="n">
        <f aca="false">YEAR(D6)</f>
        <v>2026</v>
      </c>
      <c r="F6" s="6" t="str">
        <f aca="false">YEAR(D6)&amp;"Q"&amp;ROUNDUP(MONTH(D6)/3,0)</f>
        <v>2026Q3</v>
      </c>
      <c r="G6" s="6" t="str">
        <f aca="false">YEAR(D6)&amp;"H"&amp;IF(MONTH(D6)&lt;=6,1,2)</f>
        <v>2026H2</v>
      </c>
      <c r="H6" s="5" t="s">
        <v>42</v>
      </c>
      <c r="I6" s="6" t="n">
        <v>3</v>
      </c>
      <c r="J6" s="6" t="n">
        <v>2</v>
      </c>
      <c r="K6" s="6" t="n">
        <v>1</v>
      </c>
      <c r="L6" s="6" t="n">
        <v>2</v>
      </c>
      <c r="M6" s="6" t="str">
        <f aca="false">I6&amp;"室"&amp;J6&amp;"厅"&amp;L6&amp;"卫"</f>
        <v>3室2厅2卫</v>
      </c>
      <c r="N6" s="8" t="n">
        <v>109.99</v>
      </c>
      <c r="O6" s="6" t="str">
        <f aca="false">IF(N6&lt;60,"60㎡以下",IF(N6&lt;90,"75-77㎡",IF(N6&lt;100,"94-97㎡",IF(N6&lt;120,"106-117㎡",IF(N6&lt;150,"124㎡","150㎡以上")))))</f>
        <v>106-117㎡</v>
      </c>
      <c r="P6" s="6" t="s">
        <v>43</v>
      </c>
      <c r="Q6" s="6" t="n">
        <v>33</v>
      </c>
      <c r="R6" s="6" t="s">
        <v>48</v>
      </c>
      <c r="S6" s="6" t="str">
        <f aca="false">IF(AND(ISNUMBER(SEARCH("南",R6)),ISNUMBER(SEARCH("北",R6))),"是","否")</f>
        <v>否</v>
      </c>
      <c r="T6" s="6" t="s">
        <v>52</v>
      </c>
      <c r="U6" s="9" t="n">
        <v>124</v>
      </c>
      <c r="V6" s="10" t="n">
        <v>11272</v>
      </c>
      <c r="W6" s="10" t="n">
        <f aca="false">ROUND(U6*10000/N6,0)</f>
        <v>11274</v>
      </c>
      <c r="X6" s="11" t="n">
        <f aca="false">W6-V6</f>
        <v>2</v>
      </c>
      <c r="Y6" s="6" t="str">
        <f aca="false">IF(AND(I6=3,N6&gt;=本案估值!$C$7,N6&lt;=本案估值!$C$8,D6&gt;=本案估值!$C$9),"是","否")</f>
        <v>是</v>
      </c>
    </row>
    <row r="7" customFormat="false" ht="15" hidden="false" customHeight="false" outlineLevel="0" collapsed="false">
      <c r="A7" s="13" t="n">
        <v>6</v>
      </c>
      <c r="B7" s="13" t="n">
        <v>2</v>
      </c>
      <c r="C7" s="13" t="s">
        <v>46</v>
      </c>
      <c r="D7" s="14" t="n">
        <v>46259</v>
      </c>
      <c r="E7" s="13" t="n">
        <f aca="false">YEAR(D7)</f>
        <v>2026</v>
      </c>
      <c r="F7" s="13" t="str">
        <f aca="false">YEAR(D7)&amp;"Q"&amp;ROUNDUP(MONTH(D7)/3,0)</f>
        <v>2026Q3</v>
      </c>
      <c r="G7" s="13" t="str">
        <f aca="false">YEAR(D7)&amp;"H"&amp;IF(MONTH(D7)&lt;=6,1,2)</f>
        <v>2026H2</v>
      </c>
      <c r="H7" s="12" t="s">
        <v>53</v>
      </c>
      <c r="I7" s="13" t="n">
        <v>3</v>
      </c>
      <c r="J7" s="13" t="n">
        <v>2</v>
      </c>
      <c r="K7" s="13" t="n">
        <v>1</v>
      </c>
      <c r="L7" s="13" t="n">
        <v>1</v>
      </c>
      <c r="M7" s="13" t="str">
        <f aca="false">I7&amp;"室"&amp;J7&amp;"厅"&amp;L7&amp;"卫"</f>
        <v>3室2厅1卫</v>
      </c>
      <c r="N7" s="15" t="n">
        <v>96</v>
      </c>
      <c r="O7" s="13" t="str">
        <f aca="false">IF(N7&lt;60,"60㎡以下",IF(N7&lt;90,"75-77㎡",IF(N7&lt;100,"94-97㎡",IF(N7&lt;120,"106-117㎡",IF(N7&lt;150,"124㎡","150㎡以上")))))</f>
        <v>94-97㎡</v>
      </c>
      <c r="P7" s="13" t="s">
        <v>50</v>
      </c>
      <c r="Q7" s="13" t="n">
        <v>33</v>
      </c>
      <c r="R7" s="13" t="s">
        <v>48</v>
      </c>
      <c r="S7" s="13" t="str">
        <f aca="false">IF(AND(ISNUMBER(SEARCH("南",R7)),ISNUMBER(SEARCH("北",R7))),"是","否")</f>
        <v>否</v>
      </c>
      <c r="T7" s="13" t="s">
        <v>54</v>
      </c>
      <c r="U7" s="16" t="n">
        <v>113.8</v>
      </c>
      <c r="V7" s="17" t="n">
        <v>11854</v>
      </c>
      <c r="W7" s="17" t="n">
        <f aca="false">ROUND(U7*10000/N7,0)</f>
        <v>11854</v>
      </c>
      <c r="X7" s="18" t="n">
        <f aca="false">W7-V7</f>
        <v>0</v>
      </c>
      <c r="Y7" s="13" t="str">
        <f aca="false">IF(AND(I7=3,N7&gt;=本案估值!$C$7,N7&lt;=本案估值!$C$8,D7&gt;=本案估值!$C$9),"是","否")</f>
        <v>否</v>
      </c>
    </row>
    <row r="8" customFormat="false" ht="15" hidden="false" customHeight="false" outlineLevel="0" collapsed="false">
      <c r="A8" s="6" t="n">
        <v>7</v>
      </c>
      <c r="B8" s="6" t="n">
        <v>2</v>
      </c>
      <c r="C8" s="6" t="s">
        <v>46</v>
      </c>
      <c r="D8" s="7" t="n">
        <v>46258</v>
      </c>
      <c r="E8" s="6" t="n">
        <f aca="false">YEAR(D8)</f>
        <v>2026</v>
      </c>
      <c r="F8" s="6" t="str">
        <f aca="false">YEAR(D8)&amp;"Q"&amp;ROUNDUP(MONTH(D8)/3,0)</f>
        <v>2026Q3</v>
      </c>
      <c r="G8" s="6" t="str">
        <f aca="false">YEAR(D8)&amp;"H"&amp;IF(MONTH(D8)&lt;=6,1,2)</f>
        <v>2026H2</v>
      </c>
      <c r="H8" s="5" t="s">
        <v>55</v>
      </c>
      <c r="I8" s="6" t="n">
        <v>4</v>
      </c>
      <c r="J8" s="6" t="n">
        <v>1</v>
      </c>
      <c r="K8" s="6" t="n">
        <v>1</v>
      </c>
      <c r="L8" s="6" t="n">
        <v>2</v>
      </c>
      <c r="M8" s="6" t="str">
        <f aca="false">I8&amp;"室"&amp;J8&amp;"厅"&amp;L8&amp;"卫"</f>
        <v>4室1厅2卫</v>
      </c>
      <c r="N8" s="8" t="n">
        <v>163.87</v>
      </c>
      <c r="O8" s="6" t="str">
        <f aca="false">IF(N8&lt;60,"60㎡以下",IF(N8&lt;90,"75-77㎡",IF(N8&lt;100,"94-97㎡",IF(N8&lt;120,"106-117㎡",IF(N8&lt;150,"124㎡","150㎡以上")))))</f>
        <v>150㎡以上</v>
      </c>
      <c r="P8" s="6" t="s">
        <v>50</v>
      </c>
      <c r="Q8" s="6" t="n">
        <v>11</v>
      </c>
      <c r="R8" s="6" t="s">
        <v>44</v>
      </c>
      <c r="S8" s="6" t="str">
        <f aca="false">IF(AND(ISNUMBER(SEARCH("南",R8)),ISNUMBER(SEARCH("北",R8))),"是","否")</f>
        <v>否</v>
      </c>
      <c r="T8" s="6" t="s">
        <v>56</v>
      </c>
      <c r="U8" s="9" t="n">
        <v>232</v>
      </c>
      <c r="V8" s="10" t="n">
        <v>14158</v>
      </c>
      <c r="W8" s="10" t="n">
        <f aca="false">ROUND(U8*10000/N8,0)</f>
        <v>14158</v>
      </c>
      <c r="X8" s="11" t="n">
        <f aca="false">W8-V8</f>
        <v>0</v>
      </c>
      <c r="Y8" s="6" t="str">
        <f aca="false">IF(AND(I8=3,N8&gt;=本案估值!$C$7,N8&lt;=本案估值!$C$8,D8&gt;=本案估值!$C$9),"是","否")</f>
        <v>否</v>
      </c>
    </row>
    <row r="9" customFormat="false" ht="15" hidden="false" customHeight="false" outlineLevel="0" collapsed="false">
      <c r="A9" s="13" t="n">
        <v>8</v>
      </c>
      <c r="B9" s="13" t="n">
        <v>2</v>
      </c>
      <c r="C9" s="13" t="s">
        <v>46</v>
      </c>
      <c r="D9" s="14" t="n">
        <v>46252</v>
      </c>
      <c r="E9" s="13" t="n">
        <f aca="false">YEAR(D9)</f>
        <v>2026</v>
      </c>
      <c r="F9" s="13" t="str">
        <f aca="false">YEAR(D9)&amp;"Q"&amp;ROUNDUP(MONTH(D9)/3,0)</f>
        <v>2026Q3</v>
      </c>
      <c r="G9" s="13" t="str">
        <f aca="false">YEAR(D9)&amp;"H"&amp;IF(MONTH(D9)&lt;=6,1,2)</f>
        <v>2026H2</v>
      </c>
      <c r="H9" s="12" t="s">
        <v>57</v>
      </c>
      <c r="I9" s="13" t="n">
        <v>2</v>
      </c>
      <c r="J9" s="13" t="n">
        <v>2</v>
      </c>
      <c r="K9" s="13" t="n">
        <v>1</v>
      </c>
      <c r="L9" s="13" t="n">
        <v>1</v>
      </c>
      <c r="M9" s="13" t="str">
        <f aca="false">I9&amp;"室"&amp;J9&amp;"厅"&amp;L9&amp;"卫"</f>
        <v>2室2厅1卫</v>
      </c>
      <c r="N9" s="15" t="n">
        <v>76.1</v>
      </c>
      <c r="O9" s="13" t="str">
        <f aca="false">IF(N9&lt;60,"60㎡以下",IF(N9&lt;90,"75-77㎡",IF(N9&lt;100,"94-97㎡",IF(N9&lt;120,"106-117㎡",IF(N9&lt;150,"124㎡","150㎡以上")))))</f>
        <v>75-77㎡</v>
      </c>
      <c r="P9" s="13" t="s">
        <v>49</v>
      </c>
      <c r="Q9" s="13" t="n">
        <v>33</v>
      </c>
      <c r="R9" s="13" t="s">
        <v>48</v>
      </c>
      <c r="S9" s="13" t="str">
        <f aca="false">IF(AND(ISNUMBER(SEARCH("南",R9)),ISNUMBER(SEARCH("北",R9))),"是","否")</f>
        <v>否</v>
      </c>
      <c r="T9" s="13" t="s">
        <v>52</v>
      </c>
      <c r="U9" s="16" t="n">
        <v>98.8</v>
      </c>
      <c r="V9" s="17" t="n">
        <v>12983</v>
      </c>
      <c r="W9" s="17" t="n">
        <f aca="false">ROUND(U9*10000/N9,0)</f>
        <v>12983</v>
      </c>
      <c r="X9" s="18" t="n">
        <f aca="false">W9-V9</f>
        <v>0</v>
      </c>
      <c r="Y9" s="13" t="str">
        <f aca="false">IF(AND(I9=3,N9&gt;=本案估值!$C$7,N9&lt;=本案估值!$C$8,D9&gt;=本案估值!$C$9),"是","否")</f>
        <v>否</v>
      </c>
    </row>
    <row r="10" customFormat="false" ht="15" hidden="false" customHeight="false" outlineLevel="0" collapsed="false">
      <c r="A10" s="6" t="n">
        <v>9</v>
      </c>
      <c r="B10" s="6" t="n">
        <v>3</v>
      </c>
      <c r="C10" s="6" t="s">
        <v>46</v>
      </c>
      <c r="D10" s="7" t="n">
        <v>46250</v>
      </c>
      <c r="E10" s="6" t="n">
        <f aca="false">YEAR(D10)</f>
        <v>2026</v>
      </c>
      <c r="F10" s="6" t="str">
        <f aca="false">YEAR(D10)&amp;"Q"&amp;ROUNDUP(MONTH(D10)/3,0)</f>
        <v>2026Q3</v>
      </c>
      <c r="G10" s="6" t="str">
        <f aca="false">YEAR(D10)&amp;"H"&amp;IF(MONTH(D10)&lt;=6,1,2)</f>
        <v>2026H2</v>
      </c>
      <c r="H10" s="5" t="s">
        <v>53</v>
      </c>
      <c r="I10" s="6" t="n">
        <v>3</v>
      </c>
      <c r="J10" s="6" t="n">
        <v>2</v>
      </c>
      <c r="K10" s="6" t="n">
        <v>1</v>
      </c>
      <c r="L10" s="6" t="n">
        <v>1</v>
      </c>
      <c r="M10" s="6" t="str">
        <f aca="false">I10&amp;"室"&amp;J10&amp;"厅"&amp;L10&amp;"卫"</f>
        <v>3室2厅1卫</v>
      </c>
      <c r="N10" s="8" t="n">
        <v>96.39</v>
      </c>
      <c r="O10" s="6" t="str">
        <f aca="false">IF(N10&lt;60,"60㎡以下",IF(N10&lt;90,"75-77㎡",IF(N10&lt;100,"94-97㎡",IF(N10&lt;120,"106-117㎡",IF(N10&lt;150,"124㎡","150㎡以上")))))</f>
        <v>94-97㎡</v>
      </c>
      <c r="P10" s="6" t="s">
        <v>49</v>
      </c>
      <c r="Q10" s="6" t="n">
        <v>33</v>
      </c>
      <c r="R10" s="6" t="s">
        <v>48</v>
      </c>
      <c r="S10" s="6" t="str">
        <f aca="false">IF(AND(ISNUMBER(SEARCH("南",R10)),ISNUMBER(SEARCH("北",R10))),"是","否")</f>
        <v>否</v>
      </c>
      <c r="T10" s="6" t="s">
        <v>45</v>
      </c>
      <c r="U10" s="9" t="n">
        <v>123</v>
      </c>
      <c r="V10" s="10" t="n">
        <v>12761</v>
      </c>
      <c r="W10" s="10" t="n">
        <f aca="false">ROUND(U10*10000/N10,0)</f>
        <v>12761</v>
      </c>
      <c r="X10" s="11" t="n">
        <f aca="false">W10-V10</f>
        <v>0</v>
      </c>
      <c r="Y10" s="6" t="str">
        <f aca="false">IF(AND(I10=3,N10&gt;=本案估值!$C$7,N10&lt;=本案估值!$C$8,D10&gt;=本案估值!$C$9),"是","否")</f>
        <v>否</v>
      </c>
    </row>
    <row r="11" customFormat="false" ht="15" hidden="false" customHeight="false" outlineLevel="0" collapsed="false">
      <c r="A11" s="13" t="n">
        <v>10</v>
      </c>
      <c r="B11" s="13" t="n">
        <v>3</v>
      </c>
      <c r="C11" s="13" t="s">
        <v>46</v>
      </c>
      <c r="D11" s="14" t="n">
        <v>46242</v>
      </c>
      <c r="E11" s="13" t="n">
        <f aca="false">YEAR(D11)</f>
        <v>2026</v>
      </c>
      <c r="F11" s="13" t="str">
        <f aca="false">YEAR(D11)&amp;"Q"&amp;ROUNDUP(MONTH(D11)/3,0)</f>
        <v>2026Q3</v>
      </c>
      <c r="G11" s="13" t="str">
        <f aca="false">YEAR(D11)&amp;"H"&amp;IF(MONTH(D11)&lt;=6,1,2)</f>
        <v>2026H2</v>
      </c>
      <c r="H11" s="12" t="s">
        <v>47</v>
      </c>
      <c r="I11" s="13" t="n">
        <v>2</v>
      </c>
      <c r="J11" s="13" t="n">
        <v>1</v>
      </c>
      <c r="K11" s="13" t="n">
        <v>1</v>
      </c>
      <c r="L11" s="13" t="n">
        <v>1</v>
      </c>
      <c r="M11" s="13" t="str">
        <f aca="false">I11&amp;"室"&amp;J11&amp;"厅"&amp;L11&amp;"卫"</f>
        <v>2室1厅1卫</v>
      </c>
      <c r="N11" s="15" t="n">
        <v>96.39</v>
      </c>
      <c r="O11" s="13" t="str">
        <f aca="false">IF(N11&lt;60,"60㎡以下",IF(N11&lt;90,"75-77㎡",IF(N11&lt;100,"94-97㎡",IF(N11&lt;120,"106-117㎡",IF(N11&lt;150,"124㎡","150㎡以上")))))</f>
        <v>94-97㎡</v>
      </c>
      <c r="P11" s="13" t="s">
        <v>49</v>
      </c>
      <c r="Q11" s="13" t="n">
        <v>33</v>
      </c>
      <c r="R11" s="13" t="s">
        <v>58</v>
      </c>
      <c r="S11" s="13" t="str">
        <f aca="false">IF(AND(ISNUMBER(SEARCH("南",R11)),ISNUMBER(SEARCH("北",R11))),"是","否")</f>
        <v>是</v>
      </c>
      <c r="T11" s="13" t="s">
        <v>45</v>
      </c>
      <c r="U11" s="16" t="n">
        <v>121</v>
      </c>
      <c r="V11" s="17" t="n">
        <v>12553</v>
      </c>
      <c r="W11" s="17" t="n">
        <f aca="false">ROUND(U11*10000/N11,0)</f>
        <v>12553</v>
      </c>
      <c r="X11" s="18" t="n">
        <f aca="false">W11-V11</f>
        <v>0</v>
      </c>
      <c r="Y11" s="13" t="str">
        <f aca="false">IF(AND(I11=3,N11&gt;=本案估值!$C$7,N11&lt;=本案估值!$C$8,D11&gt;=本案估值!$C$9),"是","否")</f>
        <v>否</v>
      </c>
    </row>
    <row r="12" customFormat="false" ht="15" hidden="false" customHeight="false" outlineLevel="0" collapsed="false">
      <c r="A12" s="6" t="n">
        <v>11</v>
      </c>
      <c r="B12" s="6" t="n">
        <v>3</v>
      </c>
      <c r="C12" s="6" t="s">
        <v>46</v>
      </c>
      <c r="D12" s="7" t="n">
        <v>46237</v>
      </c>
      <c r="E12" s="6" t="n">
        <f aca="false">YEAR(D12)</f>
        <v>2026</v>
      </c>
      <c r="F12" s="6" t="str">
        <f aca="false">YEAR(D12)&amp;"Q"&amp;ROUNDUP(MONTH(D12)/3,0)</f>
        <v>2026Q3</v>
      </c>
      <c r="G12" s="6" t="str">
        <f aca="false">YEAR(D12)&amp;"H"&amp;IF(MONTH(D12)&lt;=6,1,2)</f>
        <v>2026H2</v>
      </c>
      <c r="H12" s="5" t="s">
        <v>59</v>
      </c>
      <c r="I12" s="6" t="n">
        <v>1</v>
      </c>
      <c r="J12" s="6" t="n">
        <v>1</v>
      </c>
      <c r="K12" s="6" t="n">
        <v>1</v>
      </c>
      <c r="L12" s="6" t="n">
        <v>1</v>
      </c>
      <c r="M12" s="6" t="str">
        <f aca="false">I12&amp;"室"&amp;J12&amp;"厅"&amp;L12&amp;"卫"</f>
        <v>1室1厅1卫</v>
      </c>
      <c r="N12" s="8" t="n">
        <v>46.6</v>
      </c>
      <c r="O12" s="6" t="str">
        <f aca="false">IF(N12&lt;60,"60㎡以下",IF(N12&lt;90,"75-77㎡",IF(N12&lt;100,"94-97㎡",IF(N12&lt;120,"106-117㎡",IF(N12&lt;150,"124㎡","150㎡以上")))))</f>
        <v>60㎡以下</v>
      </c>
      <c r="P12" s="6" t="s">
        <v>43</v>
      </c>
      <c r="Q12" s="6" t="n">
        <v>22</v>
      </c>
      <c r="R12" s="6" t="s">
        <v>48</v>
      </c>
      <c r="S12" s="6" t="str">
        <f aca="false">IF(AND(ISNUMBER(SEARCH("南",R12)),ISNUMBER(SEARCH("北",R12))),"是","否")</f>
        <v>否</v>
      </c>
      <c r="T12" s="6" t="s">
        <v>56</v>
      </c>
      <c r="U12" s="9" t="n">
        <v>33</v>
      </c>
      <c r="V12" s="10" t="n">
        <v>7082</v>
      </c>
      <c r="W12" s="10" t="n">
        <f aca="false">ROUND(U12*10000/N12,0)</f>
        <v>7082</v>
      </c>
      <c r="X12" s="11" t="n">
        <f aca="false">W12-V12</f>
        <v>0</v>
      </c>
      <c r="Y12" s="6" t="str">
        <f aca="false">IF(AND(I12=3,N12&gt;=本案估值!$C$7,N12&lt;=本案估值!$C$8,D12&gt;=本案估值!$C$9),"是","否")</f>
        <v>否</v>
      </c>
    </row>
    <row r="13" customFormat="false" ht="15" hidden="false" customHeight="false" outlineLevel="0" collapsed="false">
      <c r="A13" s="13" t="n">
        <v>12</v>
      </c>
      <c r="B13" s="13" t="n">
        <v>3</v>
      </c>
      <c r="C13" s="13" t="s">
        <v>46</v>
      </c>
      <c r="D13" s="14" t="n">
        <v>46233</v>
      </c>
      <c r="E13" s="13" t="n">
        <f aca="false">YEAR(D13)</f>
        <v>2026</v>
      </c>
      <c r="F13" s="13" t="str">
        <f aca="false">YEAR(D13)&amp;"Q"&amp;ROUNDUP(MONTH(D13)/3,0)</f>
        <v>2026Q3</v>
      </c>
      <c r="G13" s="13" t="str">
        <f aca="false">YEAR(D13)&amp;"H"&amp;IF(MONTH(D13)&lt;=6,1,2)</f>
        <v>2026H2</v>
      </c>
      <c r="H13" s="12" t="s">
        <v>57</v>
      </c>
      <c r="I13" s="13" t="n">
        <v>2</v>
      </c>
      <c r="J13" s="13" t="n">
        <v>2</v>
      </c>
      <c r="K13" s="13" t="n">
        <v>1</v>
      </c>
      <c r="L13" s="13" t="n">
        <v>1</v>
      </c>
      <c r="M13" s="13" t="str">
        <f aca="false">I13&amp;"室"&amp;J13&amp;"厅"&amp;L13&amp;"卫"</f>
        <v>2室2厅1卫</v>
      </c>
      <c r="N13" s="15" t="n">
        <v>75.69</v>
      </c>
      <c r="O13" s="13" t="str">
        <f aca="false">IF(N13&lt;60,"60㎡以下",IF(N13&lt;90,"75-77㎡",IF(N13&lt;100,"94-97㎡",IF(N13&lt;120,"106-117㎡",IF(N13&lt;150,"124㎡","150㎡以上")))))</f>
        <v>75-77㎡</v>
      </c>
      <c r="P13" s="13" t="s">
        <v>43</v>
      </c>
      <c r="Q13" s="13" t="n">
        <v>33</v>
      </c>
      <c r="R13" s="13" t="s">
        <v>48</v>
      </c>
      <c r="S13" s="13" t="str">
        <f aca="false">IF(AND(ISNUMBER(SEARCH("南",R13)),ISNUMBER(SEARCH("北",R13))),"是","否")</f>
        <v>否</v>
      </c>
      <c r="T13" s="13" t="s">
        <v>45</v>
      </c>
      <c r="U13" s="16" t="n">
        <v>81</v>
      </c>
      <c r="V13" s="17" t="n">
        <v>10702</v>
      </c>
      <c r="W13" s="17" t="n">
        <f aca="false">ROUND(U13*10000/N13,0)</f>
        <v>10702</v>
      </c>
      <c r="X13" s="18" t="n">
        <f aca="false">W13-V13</f>
        <v>0</v>
      </c>
      <c r="Y13" s="13" t="str">
        <f aca="false">IF(AND(I13=3,N13&gt;=本案估值!$C$7,N13&lt;=本案估值!$C$8,D13&gt;=本案估值!$C$9),"是","否")</f>
        <v>否</v>
      </c>
    </row>
    <row r="14" customFormat="false" ht="15" hidden="false" customHeight="false" outlineLevel="0" collapsed="false">
      <c r="A14" s="6" t="n">
        <v>13</v>
      </c>
      <c r="B14" s="6" t="n">
        <v>4</v>
      </c>
      <c r="C14" s="6" t="s">
        <v>46</v>
      </c>
      <c r="D14" s="7" t="n">
        <v>46228</v>
      </c>
      <c r="E14" s="6" t="n">
        <f aca="false">YEAR(D14)</f>
        <v>2026</v>
      </c>
      <c r="F14" s="6" t="str">
        <f aca="false">YEAR(D14)&amp;"Q"&amp;ROUNDUP(MONTH(D14)/3,0)</f>
        <v>2026Q3</v>
      </c>
      <c r="G14" s="6" t="str">
        <f aca="false">YEAR(D14)&amp;"H"&amp;IF(MONTH(D14)&lt;=6,1,2)</f>
        <v>2026H2</v>
      </c>
      <c r="H14" s="5" t="s">
        <v>42</v>
      </c>
      <c r="I14" s="6" t="n">
        <v>3</v>
      </c>
      <c r="J14" s="6" t="n">
        <v>2</v>
      </c>
      <c r="K14" s="6" t="n">
        <v>1</v>
      </c>
      <c r="L14" s="6" t="n">
        <v>2</v>
      </c>
      <c r="M14" s="6" t="str">
        <f aca="false">I14&amp;"室"&amp;J14&amp;"厅"&amp;L14&amp;"卫"</f>
        <v>3室2厅2卫</v>
      </c>
      <c r="N14" s="8" t="n">
        <v>115.97</v>
      </c>
      <c r="O14" s="6" t="str">
        <f aca="false">IF(N14&lt;60,"60㎡以下",IF(N14&lt;90,"75-77㎡",IF(N14&lt;100,"94-97㎡",IF(N14&lt;120,"106-117㎡",IF(N14&lt;150,"124㎡","150㎡以上")))))</f>
        <v>106-117㎡</v>
      </c>
      <c r="P14" s="6" t="s">
        <v>49</v>
      </c>
      <c r="Q14" s="6" t="n">
        <v>33</v>
      </c>
      <c r="R14" s="6" t="s">
        <v>48</v>
      </c>
      <c r="S14" s="6" t="str">
        <f aca="false">IF(AND(ISNUMBER(SEARCH("南",R14)),ISNUMBER(SEARCH("北",R14))),"是","否")</f>
        <v>否</v>
      </c>
      <c r="T14" s="6" t="s">
        <v>56</v>
      </c>
      <c r="U14" s="9" t="n">
        <v>146.5</v>
      </c>
      <c r="V14" s="10" t="n">
        <v>12633</v>
      </c>
      <c r="W14" s="10" t="n">
        <f aca="false">ROUND(U14*10000/N14,0)</f>
        <v>12633</v>
      </c>
      <c r="X14" s="11" t="n">
        <f aca="false">W14-V14</f>
        <v>0</v>
      </c>
      <c r="Y14" s="6" t="str">
        <f aca="false">IF(AND(I14=3,N14&gt;=本案估值!$C$7,N14&lt;=本案估值!$C$8,D14&gt;=本案估值!$C$9),"是","否")</f>
        <v>是</v>
      </c>
    </row>
    <row r="15" customFormat="false" ht="15" hidden="false" customHeight="false" outlineLevel="0" collapsed="false">
      <c r="A15" s="13" t="n">
        <v>14</v>
      </c>
      <c r="B15" s="13" t="n">
        <v>4</v>
      </c>
      <c r="C15" s="13" t="s">
        <v>46</v>
      </c>
      <c r="D15" s="14" t="n">
        <v>46221</v>
      </c>
      <c r="E15" s="13" t="n">
        <f aca="false">YEAR(D15)</f>
        <v>2026</v>
      </c>
      <c r="F15" s="13" t="str">
        <f aca="false">YEAR(D15)&amp;"Q"&amp;ROUNDUP(MONTH(D15)/3,0)</f>
        <v>2026Q3</v>
      </c>
      <c r="G15" s="13" t="str">
        <f aca="false">YEAR(D15)&amp;"H"&amp;IF(MONTH(D15)&lt;=6,1,2)</f>
        <v>2026H2</v>
      </c>
      <c r="H15" s="12" t="s">
        <v>57</v>
      </c>
      <c r="I15" s="13" t="n">
        <v>2</v>
      </c>
      <c r="J15" s="13" t="n">
        <v>2</v>
      </c>
      <c r="K15" s="13" t="n">
        <v>1</v>
      </c>
      <c r="L15" s="13" t="n">
        <v>1</v>
      </c>
      <c r="M15" s="13" t="str">
        <f aca="false">I15&amp;"室"&amp;J15&amp;"厅"&amp;L15&amp;"卫"</f>
        <v>2室2厅1卫</v>
      </c>
      <c r="N15" s="15" t="n">
        <v>75.46</v>
      </c>
      <c r="O15" s="13" t="str">
        <f aca="false">IF(N15&lt;60,"60㎡以下",IF(N15&lt;90,"75-77㎡",IF(N15&lt;100,"94-97㎡",IF(N15&lt;120,"106-117㎡",IF(N15&lt;150,"124㎡","150㎡以上")))))</f>
        <v>75-77㎡</v>
      </c>
      <c r="P15" s="13" t="s">
        <v>49</v>
      </c>
      <c r="Q15" s="13" t="n">
        <v>33</v>
      </c>
      <c r="R15" s="13" t="s">
        <v>48</v>
      </c>
      <c r="S15" s="13" t="str">
        <f aca="false">IF(AND(ISNUMBER(SEARCH("南",R15)),ISNUMBER(SEARCH("北",R15))),"是","否")</f>
        <v>否</v>
      </c>
      <c r="T15" s="13" t="s">
        <v>45</v>
      </c>
      <c r="U15" s="16" t="n">
        <v>82</v>
      </c>
      <c r="V15" s="17" t="n">
        <v>10867</v>
      </c>
      <c r="W15" s="17" t="n">
        <f aca="false">ROUND(U15*10000/N15,0)</f>
        <v>10867</v>
      </c>
      <c r="X15" s="18" t="n">
        <f aca="false">W15-V15</f>
        <v>0</v>
      </c>
      <c r="Y15" s="13" t="str">
        <f aca="false">IF(AND(I15=3,N15&gt;=本案估值!$C$7,N15&lt;=本案估值!$C$8,D15&gt;=本案估值!$C$9),"是","否")</f>
        <v>否</v>
      </c>
    </row>
    <row r="16" customFormat="false" ht="15" hidden="false" customHeight="false" outlineLevel="0" collapsed="false">
      <c r="A16" s="6" t="n">
        <v>15</v>
      </c>
      <c r="B16" s="6" t="n">
        <v>4</v>
      </c>
      <c r="C16" s="6" t="s">
        <v>46</v>
      </c>
      <c r="D16" s="7" t="n">
        <v>46217</v>
      </c>
      <c r="E16" s="6" t="n">
        <f aca="false">YEAR(D16)</f>
        <v>2026</v>
      </c>
      <c r="F16" s="6" t="str">
        <f aca="false">YEAR(D16)&amp;"Q"&amp;ROUNDUP(MONTH(D16)/3,0)</f>
        <v>2026Q3</v>
      </c>
      <c r="G16" s="6" t="str">
        <f aca="false">YEAR(D16)&amp;"H"&amp;IF(MONTH(D16)&lt;=6,1,2)</f>
        <v>2026H2</v>
      </c>
      <c r="H16" s="5" t="s">
        <v>59</v>
      </c>
      <c r="I16" s="6" t="n">
        <v>1</v>
      </c>
      <c r="J16" s="6" t="n">
        <v>1</v>
      </c>
      <c r="K16" s="6" t="n">
        <v>1</v>
      </c>
      <c r="L16" s="6" t="n">
        <v>1</v>
      </c>
      <c r="M16" s="6" t="str">
        <f aca="false">I16&amp;"室"&amp;J16&amp;"厅"&amp;L16&amp;"卫"</f>
        <v>1室1厅1卫</v>
      </c>
      <c r="N16" s="8" t="n">
        <v>38.52</v>
      </c>
      <c r="O16" s="6" t="str">
        <f aca="false">IF(N16&lt;60,"60㎡以下",IF(N16&lt;90,"75-77㎡",IF(N16&lt;100,"94-97㎡",IF(N16&lt;120,"106-117㎡",IF(N16&lt;150,"124㎡","150㎡以上")))))</f>
        <v>60㎡以下</v>
      </c>
      <c r="P16" s="6" t="s">
        <v>49</v>
      </c>
      <c r="Q16" s="6" t="n">
        <v>22</v>
      </c>
      <c r="R16" s="6" t="s">
        <v>60</v>
      </c>
      <c r="S16" s="6" t="str">
        <f aca="false">IF(AND(ISNUMBER(SEARCH("南",R16)),ISNUMBER(SEARCH("北",R16))),"是","否")</f>
        <v>否</v>
      </c>
      <c r="T16" s="6" t="s">
        <v>56</v>
      </c>
      <c r="U16" s="9" t="n">
        <v>29</v>
      </c>
      <c r="V16" s="10" t="n">
        <v>7529</v>
      </c>
      <c r="W16" s="10" t="n">
        <f aca="false">ROUND(U16*10000/N16,0)</f>
        <v>7529</v>
      </c>
      <c r="X16" s="11" t="n">
        <f aca="false">W16-V16</f>
        <v>0</v>
      </c>
      <c r="Y16" s="6" t="str">
        <f aca="false">IF(AND(I16=3,N16&gt;=本案估值!$C$7,N16&lt;=本案估值!$C$8,D16&gt;=本案估值!$C$9),"是","否")</f>
        <v>否</v>
      </c>
    </row>
    <row r="17" customFormat="false" ht="15" hidden="false" customHeight="false" outlineLevel="0" collapsed="false">
      <c r="A17" s="13" t="n">
        <v>16</v>
      </c>
      <c r="B17" s="13" t="n">
        <v>4</v>
      </c>
      <c r="C17" s="13" t="s">
        <v>46</v>
      </c>
      <c r="D17" s="14" t="n">
        <v>46214</v>
      </c>
      <c r="E17" s="13" t="n">
        <f aca="false">YEAR(D17)</f>
        <v>2026</v>
      </c>
      <c r="F17" s="13" t="str">
        <f aca="false">YEAR(D17)&amp;"Q"&amp;ROUNDUP(MONTH(D17)/3,0)</f>
        <v>2026Q3</v>
      </c>
      <c r="G17" s="13" t="str">
        <f aca="false">YEAR(D17)&amp;"H"&amp;IF(MONTH(D17)&lt;=6,1,2)</f>
        <v>2026H2</v>
      </c>
      <c r="H17" s="12" t="s">
        <v>57</v>
      </c>
      <c r="I17" s="13" t="n">
        <v>2</v>
      </c>
      <c r="J17" s="13" t="n">
        <v>2</v>
      </c>
      <c r="K17" s="13" t="n">
        <v>1</v>
      </c>
      <c r="L17" s="13" t="n">
        <v>1</v>
      </c>
      <c r="M17" s="13" t="str">
        <f aca="false">I17&amp;"室"&amp;J17&amp;"厅"&amp;L17&amp;"卫"</f>
        <v>2室2厅1卫</v>
      </c>
      <c r="N17" s="15" t="n">
        <v>75.68</v>
      </c>
      <c r="O17" s="13" t="str">
        <f aca="false">IF(N17&lt;60,"60㎡以下",IF(N17&lt;90,"75-77㎡",IF(N17&lt;100,"94-97㎡",IF(N17&lt;120,"106-117㎡",IF(N17&lt;150,"124㎡","150㎡以上")))))</f>
        <v>75-77㎡</v>
      </c>
      <c r="P17" s="13" t="s">
        <v>43</v>
      </c>
      <c r="Q17" s="13" t="n">
        <v>33</v>
      </c>
      <c r="R17" s="13" t="s">
        <v>48</v>
      </c>
      <c r="S17" s="13" t="str">
        <f aca="false">IF(AND(ISNUMBER(SEARCH("南",R17)),ISNUMBER(SEARCH("北",R17))),"是","否")</f>
        <v>否</v>
      </c>
      <c r="T17" s="13" t="s">
        <v>45</v>
      </c>
      <c r="U17" s="16" t="n">
        <v>89.2</v>
      </c>
      <c r="V17" s="17" t="n">
        <v>11780</v>
      </c>
      <c r="W17" s="17" t="n">
        <f aca="false">ROUND(U17*10000/N17,0)</f>
        <v>11786</v>
      </c>
      <c r="X17" s="18" t="n">
        <f aca="false">W17-V17</f>
        <v>6</v>
      </c>
      <c r="Y17" s="13" t="str">
        <f aca="false">IF(AND(I17=3,N17&gt;=本案估值!$C$7,N17&lt;=本案估值!$C$8,D17&gt;=本案估值!$C$9),"是","否")</f>
        <v>否</v>
      </c>
    </row>
    <row r="18" customFormat="false" ht="15" hidden="false" customHeight="false" outlineLevel="0" collapsed="false">
      <c r="A18" s="6" t="n">
        <v>17</v>
      </c>
      <c r="B18" s="6" t="n">
        <v>5</v>
      </c>
      <c r="C18" s="6" t="s">
        <v>46</v>
      </c>
      <c r="D18" s="7" t="n">
        <v>46208</v>
      </c>
      <c r="E18" s="6" t="n">
        <f aca="false">YEAR(D18)</f>
        <v>2026</v>
      </c>
      <c r="F18" s="6" t="str">
        <f aca="false">YEAR(D18)&amp;"Q"&amp;ROUNDUP(MONTH(D18)/3,0)</f>
        <v>2026Q3</v>
      </c>
      <c r="G18" s="6" t="str">
        <f aca="false">YEAR(D18)&amp;"H"&amp;IF(MONTH(D18)&lt;=6,1,2)</f>
        <v>2026H2</v>
      </c>
      <c r="H18" s="5" t="s">
        <v>42</v>
      </c>
      <c r="I18" s="6" t="n">
        <v>3</v>
      </c>
      <c r="J18" s="6" t="n">
        <v>2</v>
      </c>
      <c r="K18" s="6" t="n">
        <v>1</v>
      </c>
      <c r="L18" s="6" t="n">
        <v>2</v>
      </c>
      <c r="M18" s="6" t="str">
        <f aca="false">I18&amp;"室"&amp;J18&amp;"厅"&amp;L18&amp;"卫"</f>
        <v>3室2厅2卫</v>
      </c>
      <c r="N18" s="8" t="n">
        <v>116.39</v>
      </c>
      <c r="O18" s="6" t="str">
        <f aca="false">IF(N18&lt;60,"60㎡以下",IF(N18&lt;90,"75-77㎡",IF(N18&lt;100,"94-97㎡",IF(N18&lt;120,"106-117㎡",IF(N18&lt;150,"124㎡","150㎡以上")))))</f>
        <v>106-117㎡</v>
      </c>
      <c r="P18" s="6" t="s">
        <v>49</v>
      </c>
      <c r="Q18" s="6" t="n">
        <v>33</v>
      </c>
      <c r="R18" s="6" t="s">
        <v>48</v>
      </c>
      <c r="S18" s="6" t="str">
        <f aca="false">IF(AND(ISNUMBER(SEARCH("南",R18)),ISNUMBER(SEARCH("北",R18))),"是","否")</f>
        <v>否</v>
      </c>
      <c r="T18" s="6" t="s">
        <v>45</v>
      </c>
      <c r="U18" s="9" t="n">
        <v>137.5</v>
      </c>
      <c r="V18" s="10" t="n">
        <v>11814</v>
      </c>
      <c r="W18" s="10" t="n">
        <f aca="false">ROUND(U18*10000/N18,0)</f>
        <v>11814</v>
      </c>
      <c r="X18" s="11" t="n">
        <f aca="false">W18-V18</f>
        <v>0</v>
      </c>
      <c r="Y18" s="6" t="str">
        <f aca="false">IF(AND(I18=3,N18&gt;=本案估值!$C$7,N18&lt;=本案估值!$C$8,D18&gt;=本案估值!$C$9),"是","否")</f>
        <v>是</v>
      </c>
    </row>
    <row r="19" customFormat="false" ht="15" hidden="false" customHeight="false" outlineLevel="0" collapsed="false">
      <c r="A19" s="13" t="n">
        <v>18</v>
      </c>
      <c r="B19" s="13" t="n">
        <v>5</v>
      </c>
      <c r="C19" s="13" t="s">
        <v>46</v>
      </c>
      <c r="D19" s="14" t="n">
        <v>46195</v>
      </c>
      <c r="E19" s="13" t="n">
        <f aca="false">YEAR(D19)</f>
        <v>2026</v>
      </c>
      <c r="F19" s="13" t="str">
        <f aca="false">YEAR(D19)&amp;"Q"&amp;ROUNDUP(MONTH(D19)/3,0)</f>
        <v>2026Q2</v>
      </c>
      <c r="G19" s="13" t="str">
        <f aca="false">YEAR(D19)&amp;"H"&amp;IF(MONTH(D19)&lt;=6,1,2)</f>
        <v>2026H1</v>
      </c>
      <c r="H19" s="12" t="s">
        <v>53</v>
      </c>
      <c r="I19" s="13" t="n">
        <v>3</v>
      </c>
      <c r="J19" s="13" t="n">
        <v>2</v>
      </c>
      <c r="K19" s="13" t="n">
        <v>1</v>
      </c>
      <c r="L19" s="13" t="n">
        <v>1</v>
      </c>
      <c r="M19" s="13" t="str">
        <f aca="false">I19&amp;"室"&amp;J19&amp;"厅"&amp;L19&amp;"卫"</f>
        <v>3室2厅1卫</v>
      </c>
      <c r="N19" s="15" t="n">
        <v>96.39</v>
      </c>
      <c r="O19" s="13" t="str">
        <f aca="false">IF(N19&lt;60,"60㎡以下",IF(N19&lt;90,"75-77㎡",IF(N19&lt;100,"94-97㎡",IF(N19&lt;120,"106-117㎡",IF(N19&lt;150,"124㎡","150㎡以上")))))</f>
        <v>94-97㎡</v>
      </c>
      <c r="P19" s="13" t="s">
        <v>50</v>
      </c>
      <c r="Q19" s="13" t="n">
        <v>33</v>
      </c>
      <c r="R19" s="13" t="s">
        <v>48</v>
      </c>
      <c r="S19" s="13" t="str">
        <f aca="false">IF(AND(ISNUMBER(SEARCH("南",R19)),ISNUMBER(SEARCH("北",R19))),"是","否")</f>
        <v>否</v>
      </c>
      <c r="T19" s="13" t="s">
        <v>45</v>
      </c>
      <c r="U19" s="16" t="n">
        <v>113</v>
      </c>
      <c r="V19" s="17" t="n">
        <v>11723</v>
      </c>
      <c r="W19" s="17" t="n">
        <f aca="false">ROUND(U19*10000/N19,0)</f>
        <v>11723</v>
      </c>
      <c r="X19" s="18" t="n">
        <f aca="false">W19-V19</f>
        <v>0</v>
      </c>
      <c r="Y19" s="13" t="str">
        <f aca="false">IF(AND(I19=3,N19&gt;=本案估值!$C$7,N19&lt;=本案估值!$C$8,D19&gt;=本案估值!$C$9),"是","否")</f>
        <v>否</v>
      </c>
    </row>
    <row r="20" customFormat="false" ht="15" hidden="false" customHeight="false" outlineLevel="0" collapsed="false">
      <c r="A20" s="6" t="n">
        <v>19</v>
      </c>
      <c r="B20" s="6" t="n">
        <v>5</v>
      </c>
      <c r="C20" s="6" t="s">
        <v>46</v>
      </c>
      <c r="D20" s="7" t="n">
        <v>46187</v>
      </c>
      <c r="E20" s="6" t="n">
        <f aca="false">YEAR(D20)</f>
        <v>2026</v>
      </c>
      <c r="F20" s="6" t="str">
        <f aca="false">YEAR(D20)&amp;"Q"&amp;ROUNDUP(MONTH(D20)/3,0)</f>
        <v>2026Q2</v>
      </c>
      <c r="G20" s="6" t="str">
        <f aca="false">YEAR(D20)&amp;"H"&amp;IF(MONTH(D20)&lt;=6,1,2)</f>
        <v>2026H1</v>
      </c>
      <c r="H20" s="5" t="s">
        <v>42</v>
      </c>
      <c r="I20" s="6" t="n">
        <v>3</v>
      </c>
      <c r="J20" s="6" t="n">
        <v>2</v>
      </c>
      <c r="K20" s="6" t="n">
        <v>1</v>
      </c>
      <c r="L20" s="6" t="n">
        <v>2</v>
      </c>
      <c r="M20" s="6" t="str">
        <f aca="false">I20&amp;"室"&amp;J20&amp;"厅"&amp;L20&amp;"卫"</f>
        <v>3室2厅2卫</v>
      </c>
      <c r="N20" s="8" t="n">
        <v>116.4</v>
      </c>
      <c r="O20" s="6" t="str">
        <f aca="false">IF(N20&lt;60,"60㎡以下",IF(N20&lt;90,"75-77㎡",IF(N20&lt;100,"94-97㎡",IF(N20&lt;120,"106-117㎡",IF(N20&lt;150,"124㎡","150㎡以上")))))</f>
        <v>106-117㎡</v>
      </c>
      <c r="P20" s="6" t="s">
        <v>49</v>
      </c>
      <c r="Q20" s="6" t="n">
        <v>33</v>
      </c>
      <c r="R20" s="6" t="s">
        <v>58</v>
      </c>
      <c r="S20" s="6" t="str">
        <f aca="false">IF(AND(ISNUMBER(SEARCH("南",R20)),ISNUMBER(SEARCH("北",R20))),"是","否")</f>
        <v>是</v>
      </c>
      <c r="T20" s="6" t="s">
        <v>45</v>
      </c>
      <c r="U20" s="9" t="n">
        <v>141</v>
      </c>
      <c r="V20" s="10" t="n">
        <v>12113</v>
      </c>
      <c r="W20" s="10" t="n">
        <f aca="false">ROUND(U20*10000/N20,0)</f>
        <v>12113</v>
      </c>
      <c r="X20" s="11" t="n">
        <f aca="false">W20-V20</f>
        <v>0</v>
      </c>
      <c r="Y20" s="6" t="str">
        <f aca="false">IF(AND(I20=3,N20&gt;=本案估值!$C$7,N20&lt;=本案估值!$C$8,D20&gt;=本案估值!$C$9),"是","否")</f>
        <v>是</v>
      </c>
    </row>
    <row r="21" customFormat="false" ht="15" hidden="false" customHeight="false" outlineLevel="0" collapsed="false">
      <c r="A21" s="13" t="n">
        <v>20</v>
      </c>
      <c r="B21" s="13" t="n">
        <v>5</v>
      </c>
      <c r="C21" s="13" t="s">
        <v>46</v>
      </c>
      <c r="D21" s="14" t="n">
        <v>46182</v>
      </c>
      <c r="E21" s="13" t="n">
        <f aca="false">YEAR(D21)</f>
        <v>2026</v>
      </c>
      <c r="F21" s="13" t="str">
        <f aca="false">YEAR(D21)&amp;"Q"&amp;ROUNDUP(MONTH(D21)/3,0)</f>
        <v>2026Q2</v>
      </c>
      <c r="G21" s="13" t="str">
        <f aca="false">YEAR(D21)&amp;"H"&amp;IF(MONTH(D21)&lt;=6,1,2)</f>
        <v>2026H1</v>
      </c>
      <c r="H21" s="12" t="s">
        <v>57</v>
      </c>
      <c r="I21" s="13" t="n">
        <v>2</v>
      </c>
      <c r="J21" s="13" t="n">
        <v>2</v>
      </c>
      <c r="K21" s="13" t="n">
        <v>1</v>
      </c>
      <c r="L21" s="13" t="n">
        <v>1</v>
      </c>
      <c r="M21" s="13" t="str">
        <f aca="false">I21&amp;"室"&amp;J21&amp;"厅"&amp;L21&amp;"卫"</f>
        <v>2室2厅1卫</v>
      </c>
      <c r="N21" s="15" t="n">
        <v>76.1</v>
      </c>
      <c r="O21" s="13" t="str">
        <f aca="false">IF(N21&lt;60,"60㎡以下",IF(N21&lt;90,"75-77㎡",IF(N21&lt;100,"94-97㎡",IF(N21&lt;120,"106-117㎡",IF(N21&lt;150,"124㎡","150㎡以上")))))</f>
        <v>75-77㎡</v>
      </c>
      <c r="P21" s="13" t="s">
        <v>49</v>
      </c>
      <c r="Q21" s="13" t="n">
        <v>33</v>
      </c>
      <c r="R21" s="13" t="s">
        <v>48</v>
      </c>
      <c r="S21" s="13" t="str">
        <f aca="false">IF(AND(ISNUMBER(SEARCH("南",R21)),ISNUMBER(SEARCH("北",R21))),"是","否")</f>
        <v>否</v>
      </c>
      <c r="T21" s="13" t="s">
        <v>45</v>
      </c>
      <c r="U21" s="16" t="n">
        <v>87</v>
      </c>
      <c r="V21" s="17" t="n">
        <v>11432</v>
      </c>
      <c r="W21" s="17" t="n">
        <f aca="false">ROUND(U21*10000/N21,0)</f>
        <v>11432</v>
      </c>
      <c r="X21" s="18" t="n">
        <f aca="false">W21-V21</f>
        <v>0</v>
      </c>
      <c r="Y21" s="13" t="str">
        <f aca="false">IF(AND(I21=3,N21&gt;=本案估值!$C$7,N21&lt;=本案估值!$C$8,D21&gt;=本案估值!$C$9),"是","否")</f>
        <v>否</v>
      </c>
    </row>
    <row r="22" customFormat="false" ht="15" hidden="false" customHeight="false" outlineLevel="0" collapsed="false">
      <c r="A22" s="6" t="n">
        <v>21</v>
      </c>
      <c r="B22" s="6" t="n">
        <v>6</v>
      </c>
      <c r="C22" s="6" t="s">
        <v>46</v>
      </c>
      <c r="D22" s="7" t="n">
        <v>46173</v>
      </c>
      <c r="E22" s="6" t="n">
        <f aca="false">YEAR(D22)</f>
        <v>2026</v>
      </c>
      <c r="F22" s="6" t="str">
        <f aca="false">YEAR(D22)&amp;"Q"&amp;ROUNDUP(MONTH(D22)/3,0)</f>
        <v>2026Q2</v>
      </c>
      <c r="G22" s="6" t="str">
        <f aca="false">YEAR(D22)&amp;"H"&amp;IF(MONTH(D22)&lt;=6,1,2)</f>
        <v>2026H1</v>
      </c>
      <c r="H22" s="5" t="s">
        <v>42</v>
      </c>
      <c r="I22" s="6" t="n">
        <v>3</v>
      </c>
      <c r="J22" s="6" t="n">
        <v>2</v>
      </c>
      <c r="K22" s="6" t="n">
        <v>1</v>
      </c>
      <c r="L22" s="6" t="n">
        <v>2</v>
      </c>
      <c r="M22" s="6" t="str">
        <f aca="false">I22&amp;"室"&amp;J22&amp;"厅"&amp;L22&amp;"卫"</f>
        <v>3室2厅2卫</v>
      </c>
      <c r="N22" s="8" t="n">
        <v>114.65</v>
      </c>
      <c r="O22" s="6" t="str">
        <f aca="false">IF(N22&lt;60,"60㎡以下",IF(N22&lt;90,"75-77㎡",IF(N22&lt;100,"94-97㎡",IF(N22&lt;120,"106-117㎡",IF(N22&lt;150,"124㎡","150㎡以上")))))</f>
        <v>106-117㎡</v>
      </c>
      <c r="P22" s="6" t="s">
        <v>43</v>
      </c>
      <c r="Q22" s="6" t="n">
        <v>33</v>
      </c>
      <c r="R22" s="6" t="s">
        <v>58</v>
      </c>
      <c r="S22" s="6" t="str">
        <f aca="false">IF(AND(ISNUMBER(SEARCH("南",R22)),ISNUMBER(SEARCH("北",R22))),"是","否")</f>
        <v>是</v>
      </c>
      <c r="T22" s="6" t="s">
        <v>45</v>
      </c>
      <c r="U22" s="9" t="n">
        <v>123.5</v>
      </c>
      <c r="V22" s="10" t="n">
        <v>10772</v>
      </c>
      <c r="W22" s="10" t="n">
        <f aca="false">ROUND(U22*10000/N22,0)</f>
        <v>10772</v>
      </c>
      <c r="X22" s="11" t="n">
        <f aca="false">W22-V22</f>
        <v>0</v>
      </c>
      <c r="Y22" s="6" t="str">
        <f aca="false">IF(AND(I22=3,N22&gt;=本案估值!$C$7,N22&lt;=本案估值!$C$8,D22&gt;=本案估值!$C$9),"是","否")</f>
        <v>是</v>
      </c>
    </row>
    <row r="23" customFormat="false" ht="15" hidden="false" customHeight="false" outlineLevel="0" collapsed="false">
      <c r="A23" s="13" t="n">
        <v>22</v>
      </c>
      <c r="B23" s="13" t="n">
        <v>6</v>
      </c>
      <c r="C23" s="13" t="s">
        <v>46</v>
      </c>
      <c r="D23" s="14" t="n">
        <v>46158</v>
      </c>
      <c r="E23" s="13" t="n">
        <f aca="false">YEAR(D23)</f>
        <v>2026</v>
      </c>
      <c r="F23" s="13" t="str">
        <f aca="false">YEAR(D23)&amp;"Q"&amp;ROUNDUP(MONTH(D23)/3,0)</f>
        <v>2026Q2</v>
      </c>
      <c r="G23" s="13" t="str">
        <f aca="false">YEAR(D23)&amp;"H"&amp;IF(MONTH(D23)&lt;=6,1,2)</f>
        <v>2026H1</v>
      </c>
      <c r="H23" s="12" t="s">
        <v>42</v>
      </c>
      <c r="I23" s="13" t="n">
        <v>3</v>
      </c>
      <c r="J23" s="13" t="n">
        <v>2</v>
      </c>
      <c r="K23" s="13" t="n">
        <v>1</v>
      </c>
      <c r="L23" s="13" t="n">
        <v>2</v>
      </c>
      <c r="M23" s="13" t="str">
        <f aca="false">I23&amp;"室"&amp;J23&amp;"厅"&amp;L23&amp;"卫"</f>
        <v>3室2厅2卫</v>
      </c>
      <c r="N23" s="15" t="n">
        <v>116.04</v>
      </c>
      <c r="O23" s="13" t="str">
        <f aca="false">IF(N23&lt;60,"60㎡以下",IF(N23&lt;90,"75-77㎡",IF(N23&lt;100,"94-97㎡",IF(N23&lt;120,"106-117㎡",IF(N23&lt;150,"124㎡","150㎡以上")))))</f>
        <v>106-117㎡</v>
      </c>
      <c r="P23" s="13" t="s">
        <v>49</v>
      </c>
      <c r="Q23" s="13" t="n">
        <v>33</v>
      </c>
      <c r="R23" s="13" t="s">
        <v>44</v>
      </c>
      <c r="S23" s="13" t="str">
        <f aca="false">IF(AND(ISNUMBER(SEARCH("南",R23)),ISNUMBER(SEARCH("北",R23))),"是","否")</f>
        <v>否</v>
      </c>
      <c r="T23" s="13" t="s">
        <v>56</v>
      </c>
      <c r="U23" s="16" t="n">
        <v>140</v>
      </c>
      <c r="V23" s="17" t="n">
        <v>12065</v>
      </c>
      <c r="W23" s="17" t="n">
        <f aca="false">ROUND(U23*10000/N23,0)</f>
        <v>12065</v>
      </c>
      <c r="X23" s="18" t="n">
        <f aca="false">W23-V23</f>
        <v>0</v>
      </c>
      <c r="Y23" s="13" t="str">
        <f aca="false">IF(AND(I23=3,N23&gt;=本案估值!$C$7,N23&lt;=本案估值!$C$8,D23&gt;=本案估值!$C$9),"是","否")</f>
        <v>是</v>
      </c>
    </row>
    <row r="24" customFormat="false" ht="15" hidden="false" customHeight="false" outlineLevel="0" collapsed="false">
      <c r="A24" s="6" t="n">
        <v>23</v>
      </c>
      <c r="B24" s="6" t="n">
        <v>6</v>
      </c>
      <c r="C24" s="6" t="s">
        <v>46</v>
      </c>
      <c r="D24" s="7" t="n">
        <v>46156</v>
      </c>
      <c r="E24" s="6" t="n">
        <f aca="false">YEAR(D24)</f>
        <v>2026</v>
      </c>
      <c r="F24" s="6" t="str">
        <f aca="false">YEAR(D24)&amp;"Q"&amp;ROUNDUP(MONTH(D24)/3,0)</f>
        <v>2026Q2</v>
      </c>
      <c r="G24" s="6" t="str">
        <f aca="false">YEAR(D24)&amp;"H"&amp;IF(MONTH(D24)&lt;=6,1,2)</f>
        <v>2026H1</v>
      </c>
      <c r="H24" s="5" t="s">
        <v>53</v>
      </c>
      <c r="I24" s="6" t="n">
        <v>3</v>
      </c>
      <c r="J24" s="6" t="n">
        <v>2</v>
      </c>
      <c r="K24" s="6" t="n">
        <v>1</v>
      </c>
      <c r="L24" s="6" t="n">
        <v>1</v>
      </c>
      <c r="M24" s="6" t="str">
        <f aca="false">I24&amp;"室"&amp;J24&amp;"厅"&amp;L24&amp;"卫"</f>
        <v>3室2厅1卫</v>
      </c>
      <c r="N24" s="8" t="n">
        <v>96.39</v>
      </c>
      <c r="O24" s="6" t="str">
        <f aca="false">IF(N24&lt;60,"60㎡以下",IF(N24&lt;90,"75-77㎡",IF(N24&lt;100,"94-97㎡",IF(N24&lt;120,"106-117㎡",IF(N24&lt;150,"124㎡","150㎡以上")))))</f>
        <v>94-97㎡</v>
      </c>
      <c r="P24" s="6" t="s">
        <v>49</v>
      </c>
      <c r="Q24" s="6" t="n">
        <v>33</v>
      </c>
      <c r="R24" s="6" t="s">
        <v>44</v>
      </c>
      <c r="S24" s="6" t="str">
        <f aca="false">IF(AND(ISNUMBER(SEARCH("南",R24)),ISNUMBER(SEARCH("北",R24))),"是","否")</f>
        <v>否</v>
      </c>
      <c r="T24" s="6" t="s">
        <v>56</v>
      </c>
      <c r="U24" s="9" t="n">
        <v>108</v>
      </c>
      <c r="V24" s="10" t="n">
        <v>11204</v>
      </c>
      <c r="W24" s="10" t="n">
        <f aca="false">ROUND(U24*10000/N24,0)</f>
        <v>11204</v>
      </c>
      <c r="X24" s="11" t="n">
        <f aca="false">W24-V24</f>
        <v>0</v>
      </c>
      <c r="Y24" s="6" t="str">
        <f aca="false">IF(AND(I24=3,N24&gt;=本案估值!$C$7,N24&lt;=本案估值!$C$8,D24&gt;=本案估值!$C$9),"是","否")</f>
        <v>否</v>
      </c>
    </row>
    <row r="25" customFormat="false" ht="15" hidden="false" customHeight="false" outlineLevel="0" collapsed="false">
      <c r="A25" s="13" t="n">
        <v>24</v>
      </c>
      <c r="B25" s="13" t="n">
        <v>6</v>
      </c>
      <c r="C25" s="13" t="s">
        <v>46</v>
      </c>
      <c r="D25" s="14" t="n">
        <v>46155</v>
      </c>
      <c r="E25" s="13" t="n">
        <f aca="false">YEAR(D25)</f>
        <v>2026</v>
      </c>
      <c r="F25" s="13" t="str">
        <f aca="false">YEAR(D25)&amp;"Q"&amp;ROUNDUP(MONTH(D25)/3,0)</f>
        <v>2026Q2</v>
      </c>
      <c r="G25" s="13" t="str">
        <f aca="false">YEAR(D25)&amp;"H"&amp;IF(MONTH(D25)&lt;=6,1,2)</f>
        <v>2026H1</v>
      </c>
      <c r="H25" s="12" t="s">
        <v>53</v>
      </c>
      <c r="I25" s="13" t="n">
        <v>3</v>
      </c>
      <c r="J25" s="13" t="n">
        <v>2</v>
      </c>
      <c r="K25" s="13" t="n">
        <v>1</v>
      </c>
      <c r="L25" s="13" t="n">
        <v>1</v>
      </c>
      <c r="M25" s="13" t="str">
        <f aca="false">I25&amp;"室"&amp;J25&amp;"厅"&amp;L25&amp;"卫"</f>
        <v>3室2厅1卫</v>
      </c>
      <c r="N25" s="15" t="n">
        <v>96.39</v>
      </c>
      <c r="O25" s="13" t="str">
        <f aca="false">IF(N25&lt;60,"60㎡以下",IF(N25&lt;90,"75-77㎡",IF(N25&lt;100,"94-97㎡",IF(N25&lt;120,"106-117㎡",IF(N25&lt;150,"124㎡","150㎡以上")))))</f>
        <v>94-97㎡</v>
      </c>
      <c r="P25" s="13" t="s">
        <v>49</v>
      </c>
      <c r="Q25" s="13" t="n">
        <v>33</v>
      </c>
      <c r="R25" s="13" t="s">
        <v>48</v>
      </c>
      <c r="S25" s="13" t="str">
        <f aca="false">IF(AND(ISNUMBER(SEARCH("南",R25)),ISNUMBER(SEARCH("北",R25))),"是","否")</f>
        <v>否</v>
      </c>
      <c r="T25" s="13" t="s">
        <v>52</v>
      </c>
      <c r="U25" s="16" t="n">
        <v>111.6</v>
      </c>
      <c r="V25" s="17" t="n">
        <v>11578</v>
      </c>
      <c r="W25" s="17" t="n">
        <f aca="false">ROUND(U25*10000/N25,0)</f>
        <v>11578</v>
      </c>
      <c r="X25" s="18" t="n">
        <f aca="false">W25-V25</f>
        <v>0</v>
      </c>
      <c r="Y25" s="13" t="str">
        <f aca="false">IF(AND(I25=3,N25&gt;=本案估值!$C$7,N25&lt;=本案估值!$C$8,D25&gt;=本案估值!$C$9),"是","否")</f>
        <v>否</v>
      </c>
    </row>
    <row r="26" customFormat="false" ht="15" hidden="false" customHeight="false" outlineLevel="0" collapsed="false">
      <c r="A26" s="6" t="n">
        <v>25</v>
      </c>
      <c r="B26" s="6" t="n">
        <v>7</v>
      </c>
      <c r="C26" s="6" t="s">
        <v>46</v>
      </c>
      <c r="D26" s="7" t="n">
        <v>46122</v>
      </c>
      <c r="E26" s="6" t="n">
        <f aca="false">YEAR(D26)</f>
        <v>2026</v>
      </c>
      <c r="F26" s="6" t="str">
        <f aca="false">YEAR(D26)&amp;"Q"&amp;ROUNDUP(MONTH(D26)/3,0)</f>
        <v>2026Q2</v>
      </c>
      <c r="G26" s="6" t="str">
        <f aca="false">YEAR(D26)&amp;"H"&amp;IF(MONTH(D26)&lt;=6,1,2)</f>
        <v>2026H1</v>
      </c>
      <c r="H26" s="5" t="s">
        <v>42</v>
      </c>
      <c r="I26" s="6" t="n">
        <v>3</v>
      </c>
      <c r="J26" s="6" t="n">
        <v>2</v>
      </c>
      <c r="K26" s="6" t="n">
        <v>1</v>
      </c>
      <c r="L26" s="6" t="n">
        <v>2</v>
      </c>
      <c r="M26" s="6" t="str">
        <f aca="false">I26&amp;"室"&amp;J26&amp;"厅"&amp;L26&amp;"卫"</f>
        <v>3室2厅2卫</v>
      </c>
      <c r="N26" s="8" t="n">
        <v>124.3</v>
      </c>
      <c r="O26" s="6" t="str">
        <f aca="false">IF(N26&lt;60,"60㎡以下",IF(N26&lt;90,"75-77㎡",IF(N26&lt;100,"94-97㎡",IF(N26&lt;120,"106-117㎡",IF(N26&lt;150,"124㎡","150㎡以上")))))</f>
        <v>124㎡</v>
      </c>
      <c r="P26" s="6" t="s">
        <v>43</v>
      </c>
      <c r="Q26" s="6" t="n">
        <v>33</v>
      </c>
      <c r="R26" s="6" t="s">
        <v>44</v>
      </c>
      <c r="S26" s="6" t="str">
        <f aca="false">IF(AND(ISNUMBER(SEARCH("南",R26)),ISNUMBER(SEARCH("北",R26))),"是","否")</f>
        <v>否</v>
      </c>
      <c r="T26" s="6" t="s">
        <v>45</v>
      </c>
      <c r="U26" s="9" t="n">
        <v>161</v>
      </c>
      <c r="V26" s="10" t="n">
        <v>12953</v>
      </c>
      <c r="W26" s="10" t="n">
        <f aca="false">ROUND(U26*10000/N26,0)</f>
        <v>12953</v>
      </c>
      <c r="X26" s="11" t="n">
        <f aca="false">W26-V26</f>
        <v>0</v>
      </c>
      <c r="Y26" s="6" t="str">
        <f aca="false">IF(AND(I26=3,N26&gt;=本案估值!$C$7,N26&lt;=本案估值!$C$8,D26&gt;=本案估值!$C$9),"是","否")</f>
        <v>否</v>
      </c>
    </row>
    <row r="27" customFormat="false" ht="15" hidden="false" customHeight="false" outlineLevel="0" collapsed="false">
      <c r="A27" s="13" t="n">
        <v>26</v>
      </c>
      <c r="B27" s="13" t="n">
        <v>7</v>
      </c>
      <c r="C27" s="13" t="s">
        <v>46</v>
      </c>
      <c r="D27" s="14" t="n">
        <v>46120</v>
      </c>
      <c r="E27" s="13" t="n">
        <f aca="false">YEAR(D27)</f>
        <v>2026</v>
      </c>
      <c r="F27" s="13" t="str">
        <f aca="false">YEAR(D27)&amp;"Q"&amp;ROUNDUP(MONTH(D27)/3,0)</f>
        <v>2026Q2</v>
      </c>
      <c r="G27" s="13" t="str">
        <f aca="false">YEAR(D27)&amp;"H"&amp;IF(MONTH(D27)&lt;=6,1,2)</f>
        <v>2026H1</v>
      </c>
      <c r="H27" s="12" t="s">
        <v>42</v>
      </c>
      <c r="I27" s="13" t="n">
        <v>3</v>
      </c>
      <c r="J27" s="13" t="n">
        <v>2</v>
      </c>
      <c r="K27" s="13" t="n">
        <v>1</v>
      </c>
      <c r="L27" s="13" t="n">
        <v>2</v>
      </c>
      <c r="M27" s="13" t="str">
        <f aca="false">I27&amp;"室"&amp;J27&amp;"厅"&amp;L27&amp;"卫"</f>
        <v>3室2厅2卫</v>
      </c>
      <c r="N27" s="15" t="n">
        <v>113.37</v>
      </c>
      <c r="O27" s="13" t="str">
        <f aca="false">IF(N27&lt;60,"60㎡以下",IF(N27&lt;90,"75-77㎡",IF(N27&lt;100,"94-97㎡",IF(N27&lt;120,"106-117㎡",IF(N27&lt;150,"124㎡","150㎡以上")))))</f>
        <v>106-117㎡</v>
      </c>
      <c r="P27" s="13" t="s">
        <v>50</v>
      </c>
      <c r="Q27" s="13" t="n">
        <v>33</v>
      </c>
      <c r="R27" s="13" t="s">
        <v>48</v>
      </c>
      <c r="S27" s="13" t="str">
        <f aca="false">IF(AND(ISNUMBER(SEARCH("南",R27)),ISNUMBER(SEARCH("北",R27))),"是","否")</f>
        <v>否</v>
      </c>
      <c r="T27" s="13" t="s">
        <v>45</v>
      </c>
      <c r="U27" s="16" t="n">
        <v>112</v>
      </c>
      <c r="V27" s="17" t="n">
        <v>9879</v>
      </c>
      <c r="W27" s="17" t="n">
        <f aca="false">ROUND(U27*10000/N27,0)</f>
        <v>9879</v>
      </c>
      <c r="X27" s="18" t="n">
        <f aca="false">W27-V27</f>
        <v>0</v>
      </c>
      <c r="Y27" s="13" t="str">
        <f aca="false">IF(AND(I27=3,N27&gt;=本案估值!$C$7,N27&lt;=本案估值!$C$8,D27&gt;=本案估值!$C$9),"是","否")</f>
        <v>是</v>
      </c>
    </row>
    <row r="28" customFormat="false" ht="15" hidden="false" customHeight="false" outlineLevel="0" collapsed="false">
      <c r="A28" s="6" t="n">
        <v>27</v>
      </c>
      <c r="B28" s="6" t="n">
        <v>7</v>
      </c>
      <c r="C28" s="6" t="s">
        <v>46</v>
      </c>
      <c r="D28" s="7" t="n">
        <v>46117</v>
      </c>
      <c r="E28" s="6" t="n">
        <f aca="false">YEAR(D28)</f>
        <v>2026</v>
      </c>
      <c r="F28" s="6" t="str">
        <f aca="false">YEAR(D28)&amp;"Q"&amp;ROUNDUP(MONTH(D28)/3,0)</f>
        <v>2026Q2</v>
      </c>
      <c r="G28" s="6" t="str">
        <f aca="false">YEAR(D28)&amp;"H"&amp;IF(MONTH(D28)&lt;=6,1,2)</f>
        <v>2026H1</v>
      </c>
      <c r="H28" s="5" t="s">
        <v>42</v>
      </c>
      <c r="I28" s="6" t="n">
        <v>3</v>
      </c>
      <c r="J28" s="6" t="n">
        <v>2</v>
      </c>
      <c r="K28" s="6" t="n">
        <v>1</v>
      </c>
      <c r="L28" s="6" t="n">
        <v>2</v>
      </c>
      <c r="M28" s="6" t="str">
        <f aca="false">I28&amp;"室"&amp;J28&amp;"厅"&amp;L28&amp;"卫"</f>
        <v>3室2厅2卫</v>
      </c>
      <c r="N28" s="8" t="n">
        <v>124.3</v>
      </c>
      <c r="O28" s="6" t="str">
        <f aca="false">IF(N28&lt;60,"60㎡以下",IF(N28&lt;90,"75-77㎡",IF(N28&lt;100,"94-97㎡",IF(N28&lt;120,"106-117㎡",IF(N28&lt;150,"124㎡","150㎡以上")))))</f>
        <v>124㎡</v>
      </c>
      <c r="P28" s="6" t="s">
        <v>49</v>
      </c>
      <c r="Q28" s="6" t="n">
        <v>33</v>
      </c>
      <c r="R28" s="6" t="s">
        <v>48</v>
      </c>
      <c r="S28" s="6" t="str">
        <f aca="false">IF(AND(ISNUMBER(SEARCH("南",R28)),ISNUMBER(SEARCH("北",R28))),"是","否")</f>
        <v>否</v>
      </c>
      <c r="T28" s="6" t="s">
        <v>45</v>
      </c>
      <c r="U28" s="9" t="n">
        <v>168</v>
      </c>
      <c r="V28" s="10" t="n">
        <v>13516</v>
      </c>
      <c r="W28" s="10" t="n">
        <f aca="false">ROUND(U28*10000/N28,0)</f>
        <v>13516</v>
      </c>
      <c r="X28" s="11" t="n">
        <f aca="false">W28-V28</f>
        <v>0</v>
      </c>
      <c r="Y28" s="6" t="str">
        <f aca="false">IF(AND(I28=3,N28&gt;=本案估值!$C$7,N28&lt;=本案估值!$C$8,D28&gt;=本案估值!$C$9),"是","否")</f>
        <v>否</v>
      </c>
    </row>
    <row r="29" customFormat="false" ht="15" hidden="false" customHeight="false" outlineLevel="0" collapsed="false">
      <c r="A29" s="13" t="n">
        <v>28</v>
      </c>
      <c r="B29" s="13" t="n">
        <v>7</v>
      </c>
      <c r="C29" s="13" t="s">
        <v>46</v>
      </c>
      <c r="D29" s="14" t="n">
        <v>46110</v>
      </c>
      <c r="E29" s="13" t="n">
        <f aca="false">YEAR(D29)</f>
        <v>2026</v>
      </c>
      <c r="F29" s="13" t="str">
        <f aca="false">YEAR(D29)&amp;"Q"&amp;ROUNDUP(MONTH(D29)/3,0)</f>
        <v>2026Q1</v>
      </c>
      <c r="G29" s="13" t="str">
        <f aca="false">YEAR(D29)&amp;"H"&amp;IF(MONTH(D29)&lt;=6,1,2)</f>
        <v>2026H1</v>
      </c>
      <c r="H29" s="12" t="s">
        <v>53</v>
      </c>
      <c r="I29" s="13" t="n">
        <v>3</v>
      </c>
      <c r="J29" s="13" t="n">
        <v>2</v>
      </c>
      <c r="K29" s="13" t="n">
        <v>1</v>
      </c>
      <c r="L29" s="13" t="n">
        <v>1</v>
      </c>
      <c r="M29" s="13" t="str">
        <f aca="false">I29&amp;"室"&amp;J29&amp;"厅"&amp;L29&amp;"卫"</f>
        <v>3室2厅1卫</v>
      </c>
      <c r="N29" s="15" t="n">
        <v>96.39</v>
      </c>
      <c r="O29" s="13" t="str">
        <f aca="false">IF(N29&lt;60,"60㎡以下",IF(N29&lt;90,"75-77㎡",IF(N29&lt;100,"94-97㎡",IF(N29&lt;120,"106-117㎡",IF(N29&lt;150,"124㎡","150㎡以上")))))</f>
        <v>94-97㎡</v>
      </c>
      <c r="P29" s="13" t="s">
        <v>43</v>
      </c>
      <c r="Q29" s="13" t="n">
        <v>33</v>
      </c>
      <c r="R29" s="13" t="s">
        <v>48</v>
      </c>
      <c r="S29" s="13" t="str">
        <f aca="false">IF(AND(ISNUMBER(SEARCH("南",R29)),ISNUMBER(SEARCH("北",R29))),"是","否")</f>
        <v>否</v>
      </c>
      <c r="T29" s="13" t="s">
        <v>45</v>
      </c>
      <c r="U29" s="16" t="n">
        <v>124</v>
      </c>
      <c r="V29" s="17" t="n">
        <v>12864</v>
      </c>
      <c r="W29" s="17" t="n">
        <f aca="false">ROUND(U29*10000/N29,0)</f>
        <v>12864</v>
      </c>
      <c r="X29" s="18" t="n">
        <f aca="false">W29-V29</f>
        <v>0</v>
      </c>
      <c r="Y29" s="13" t="str">
        <f aca="false">IF(AND(I29=3,N29&gt;=本案估值!$C$7,N29&lt;=本案估值!$C$8,D29&gt;=本案估值!$C$9),"是","否")</f>
        <v>否</v>
      </c>
    </row>
    <row r="30" customFormat="false" ht="15" hidden="false" customHeight="false" outlineLevel="0" collapsed="false">
      <c r="A30" s="6" t="n">
        <v>29</v>
      </c>
      <c r="B30" s="6" t="n">
        <v>8</v>
      </c>
      <c r="C30" s="6" t="s">
        <v>46</v>
      </c>
      <c r="D30" s="7" t="n">
        <v>46110</v>
      </c>
      <c r="E30" s="6" t="n">
        <f aca="false">YEAR(D30)</f>
        <v>2026</v>
      </c>
      <c r="F30" s="6" t="str">
        <f aca="false">YEAR(D30)&amp;"Q"&amp;ROUNDUP(MONTH(D30)/3,0)</f>
        <v>2026Q1</v>
      </c>
      <c r="G30" s="6" t="str">
        <f aca="false">YEAR(D30)&amp;"H"&amp;IF(MONTH(D30)&lt;=6,1,2)</f>
        <v>2026H1</v>
      </c>
      <c r="H30" s="5" t="s">
        <v>42</v>
      </c>
      <c r="I30" s="6" t="n">
        <v>3</v>
      </c>
      <c r="J30" s="6" t="n">
        <v>2</v>
      </c>
      <c r="K30" s="6" t="n">
        <v>1</v>
      </c>
      <c r="L30" s="6" t="n">
        <v>2</v>
      </c>
      <c r="M30" s="6" t="str">
        <f aca="false">I30&amp;"室"&amp;J30&amp;"厅"&amp;L30&amp;"卫"</f>
        <v>3室2厅2卫</v>
      </c>
      <c r="N30" s="8" t="n">
        <v>116.07</v>
      </c>
      <c r="O30" s="6" t="str">
        <f aca="false">IF(N30&lt;60,"60㎡以下",IF(N30&lt;90,"75-77㎡",IF(N30&lt;100,"94-97㎡",IF(N30&lt;120,"106-117㎡",IF(N30&lt;150,"124㎡","150㎡以上")))))</f>
        <v>106-117㎡</v>
      </c>
      <c r="P30" s="6" t="s">
        <v>50</v>
      </c>
      <c r="Q30" s="6" t="n">
        <v>33</v>
      </c>
      <c r="R30" s="6" t="s">
        <v>48</v>
      </c>
      <c r="S30" s="6" t="str">
        <f aca="false">IF(AND(ISNUMBER(SEARCH("南",R30)),ISNUMBER(SEARCH("北",R30))),"是","否")</f>
        <v>否</v>
      </c>
      <c r="T30" s="6" t="s">
        <v>61</v>
      </c>
      <c r="U30" s="9" t="n">
        <v>137</v>
      </c>
      <c r="V30" s="10" t="n">
        <v>11803</v>
      </c>
      <c r="W30" s="10" t="n">
        <f aca="false">ROUND(U30*10000/N30,0)</f>
        <v>11803</v>
      </c>
      <c r="X30" s="11" t="n">
        <f aca="false">W30-V30</f>
        <v>0</v>
      </c>
      <c r="Y30" s="6" t="str">
        <f aca="false">IF(AND(I30=3,N30&gt;=本案估值!$C$7,N30&lt;=本案估值!$C$8,D30&gt;=本案估值!$C$9),"是","否")</f>
        <v>是</v>
      </c>
    </row>
    <row r="31" customFormat="false" ht="15" hidden="false" customHeight="false" outlineLevel="0" collapsed="false">
      <c r="A31" s="13" t="n">
        <v>30</v>
      </c>
      <c r="B31" s="13" t="n">
        <v>8</v>
      </c>
      <c r="C31" s="13" t="s">
        <v>46</v>
      </c>
      <c r="D31" s="14" t="n">
        <v>46096</v>
      </c>
      <c r="E31" s="13" t="n">
        <f aca="false">YEAR(D31)</f>
        <v>2026</v>
      </c>
      <c r="F31" s="13" t="str">
        <f aca="false">YEAR(D31)&amp;"Q"&amp;ROUNDUP(MONTH(D31)/3,0)</f>
        <v>2026Q1</v>
      </c>
      <c r="G31" s="13" t="str">
        <f aca="false">YEAR(D31)&amp;"H"&amp;IF(MONTH(D31)&lt;=6,1,2)</f>
        <v>2026H1</v>
      </c>
      <c r="H31" s="12" t="s">
        <v>42</v>
      </c>
      <c r="I31" s="13" t="n">
        <v>3</v>
      </c>
      <c r="J31" s="13" t="n">
        <v>2</v>
      </c>
      <c r="K31" s="13" t="n">
        <v>1</v>
      </c>
      <c r="L31" s="13" t="n">
        <v>2</v>
      </c>
      <c r="M31" s="13" t="str">
        <f aca="false">I31&amp;"室"&amp;J31&amp;"厅"&amp;L31&amp;"卫"</f>
        <v>3室2厅2卫</v>
      </c>
      <c r="N31" s="15" t="n">
        <v>109.99</v>
      </c>
      <c r="O31" s="13" t="str">
        <f aca="false">IF(N31&lt;60,"60㎡以下",IF(N31&lt;90,"75-77㎡",IF(N31&lt;100,"94-97㎡",IF(N31&lt;120,"106-117㎡",IF(N31&lt;150,"124㎡","150㎡以上")))))</f>
        <v>106-117㎡</v>
      </c>
      <c r="P31" s="13" t="s">
        <v>43</v>
      </c>
      <c r="Q31" s="13" t="n">
        <v>33</v>
      </c>
      <c r="R31" s="13" t="s">
        <v>48</v>
      </c>
      <c r="S31" s="13" t="str">
        <f aca="false">IF(AND(ISNUMBER(SEARCH("南",R31)),ISNUMBER(SEARCH("北",R31))),"是","否")</f>
        <v>否</v>
      </c>
      <c r="T31" s="13" t="s">
        <v>45</v>
      </c>
      <c r="U31" s="16" t="n">
        <v>100.5</v>
      </c>
      <c r="V31" s="17" t="n">
        <v>9137</v>
      </c>
      <c r="W31" s="17" t="n">
        <f aca="false">ROUND(U31*10000/N31,0)</f>
        <v>9137</v>
      </c>
      <c r="X31" s="18" t="n">
        <f aca="false">W31-V31</f>
        <v>0</v>
      </c>
      <c r="Y31" s="13" t="str">
        <f aca="false">IF(AND(I31=3,N31&gt;=本案估值!$C$7,N31&lt;=本案估值!$C$8,D31&gt;=本案估值!$C$9),"是","否")</f>
        <v>是</v>
      </c>
    </row>
    <row r="32" customFormat="false" ht="15" hidden="false" customHeight="false" outlineLevel="0" collapsed="false">
      <c r="A32" s="6" t="n">
        <v>31</v>
      </c>
      <c r="B32" s="6" t="n">
        <v>8</v>
      </c>
      <c r="C32" s="6" t="s">
        <v>46</v>
      </c>
      <c r="D32" s="7" t="n">
        <v>46092</v>
      </c>
      <c r="E32" s="6" t="n">
        <f aca="false">YEAR(D32)</f>
        <v>2026</v>
      </c>
      <c r="F32" s="6" t="str">
        <f aca="false">YEAR(D32)&amp;"Q"&amp;ROUNDUP(MONTH(D32)/3,0)</f>
        <v>2026Q1</v>
      </c>
      <c r="G32" s="6" t="str">
        <f aca="false">YEAR(D32)&amp;"H"&amp;IF(MONTH(D32)&lt;=6,1,2)</f>
        <v>2026H1</v>
      </c>
      <c r="H32" s="5" t="s">
        <v>47</v>
      </c>
      <c r="I32" s="6" t="n">
        <v>2</v>
      </c>
      <c r="J32" s="6" t="n">
        <v>1</v>
      </c>
      <c r="K32" s="6" t="n">
        <v>1</v>
      </c>
      <c r="L32" s="6" t="n">
        <v>1</v>
      </c>
      <c r="M32" s="6" t="str">
        <f aca="false">I32&amp;"室"&amp;J32&amp;"厅"&amp;L32&amp;"卫"</f>
        <v>2室1厅1卫</v>
      </c>
      <c r="N32" s="8" t="n">
        <v>75.46</v>
      </c>
      <c r="O32" s="6" t="str">
        <f aca="false">IF(N32&lt;60,"60㎡以下",IF(N32&lt;90,"75-77㎡",IF(N32&lt;100,"94-97㎡",IF(N32&lt;120,"106-117㎡",IF(N32&lt;150,"124㎡","150㎡以上")))))</f>
        <v>75-77㎡</v>
      </c>
      <c r="P32" s="6" t="s">
        <v>49</v>
      </c>
      <c r="Q32" s="6" t="n">
        <v>33</v>
      </c>
      <c r="R32" s="6" t="s">
        <v>44</v>
      </c>
      <c r="S32" s="6" t="str">
        <f aca="false">IF(AND(ISNUMBER(SEARCH("南",R32)),ISNUMBER(SEARCH("北",R32))),"是","否")</f>
        <v>否</v>
      </c>
      <c r="T32" s="6" t="s">
        <v>45</v>
      </c>
      <c r="U32" s="9" t="n">
        <v>85</v>
      </c>
      <c r="V32" s="10" t="n">
        <v>11264</v>
      </c>
      <c r="W32" s="10" t="n">
        <f aca="false">ROUND(U32*10000/N32,0)</f>
        <v>11264</v>
      </c>
      <c r="X32" s="11" t="n">
        <f aca="false">W32-V32</f>
        <v>0</v>
      </c>
      <c r="Y32" s="6" t="str">
        <f aca="false">IF(AND(I32=3,N32&gt;=本案估值!$C$7,N32&lt;=本案估值!$C$8,D32&gt;=本案估值!$C$9),"是","否")</f>
        <v>否</v>
      </c>
    </row>
    <row r="33" customFormat="false" ht="15" hidden="false" customHeight="false" outlineLevel="0" collapsed="false">
      <c r="A33" s="13" t="n">
        <v>32</v>
      </c>
      <c r="B33" s="13" t="n">
        <v>8</v>
      </c>
      <c r="C33" s="13" t="s">
        <v>46</v>
      </c>
      <c r="D33" s="14" t="n">
        <v>46090</v>
      </c>
      <c r="E33" s="13" t="n">
        <f aca="false">YEAR(D33)</f>
        <v>2026</v>
      </c>
      <c r="F33" s="13" t="str">
        <f aca="false">YEAR(D33)&amp;"Q"&amp;ROUNDUP(MONTH(D33)/3,0)</f>
        <v>2026Q1</v>
      </c>
      <c r="G33" s="13" t="str">
        <f aca="false">YEAR(D33)&amp;"H"&amp;IF(MONTH(D33)&lt;=6,1,2)</f>
        <v>2026H1</v>
      </c>
      <c r="H33" s="12" t="s">
        <v>53</v>
      </c>
      <c r="I33" s="13" t="n">
        <v>3</v>
      </c>
      <c r="J33" s="13" t="n">
        <v>2</v>
      </c>
      <c r="K33" s="13" t="n">
        <v>1</v>
      </c>
      <c r="L33" s="13" t="n">
        <v>1</v>
      </c>
      <c r="M33" s="13" t="str">
        <f aca="false">I33&amp;"室"&amp;J33&amp;"厅"&amp;L33&amp;"卫"</f>
        <v>3室2厅1卫</v>
      </c>
      <c r="N33" s="15" t="n">
        <v>96.86</v>
      </c>
      <c r="O33" s="13" t="str">
        <f aca="false">IF(N33&lt;60,"60㎡以下",IF(N33&lt;90,"75-77㎡",IF(N33&lt;100,"94-97㎡",IF(N33&lt;120,"106-117㎡",IF(N33&lt;150,"124㎡","150㎡以上")))))</f>
        <v>94-97㎡</v>
      </c>
      <c r="P33" s="13" t="s">
        <v>50</v>
      </c>
      <c r="Q33" s="13" t="n">
        <v>33</v>
      </c>
      <c r="R33" s="13" t="s">
        <v>48</v>
      </c>
      <c r="S33" s="13" t="str">
        <f aca="false">IF(AND(ISNUMBER(SEARCH("南",R33)),ISNUMBER(SEARCH("北",R33))),"是","否")</f>
        <v>否</v>
      </c>
      <c r="T33" s="13" t="s">
        <v>45</v>
      </c>
      <c r="U33" s="16" t="n">
        <v>97</v>
      </c>
      <c r="V33" s="17" t="n">
        <v>10014</v>
      </c>
      <c r="W33" s="17" t="n">
        <f aca="false">ROUND(U33*10000/N33,0)</f>
        <v>10014</v>
      </c>
      <c r="X33" s="18" t="n">
        <f aca="false">W33-V33</f>
        <v>0</v>
      </c>
      <c r="Y33" s="13" t="str">
        <f aca="false">IF(AND(I33=3,N33&gt;=本案估值!$C$7,N33&lt;=本案估值!$C$8,D33&gt;=本案估值!$C$9),"是","否")</f>
        <v>否</v>
      </c>
    </row>
    <row r="34" customFormat="false" ht="15" hidden="false" customHeight="false" outlineLevel="0" collapsed="false">
      <c r="A34" s="6" t="n">
        <v>33</v>
      </c>
      <c r="B34" s="6" t="n">
        <v>9</v>
      </c>
      <c r="C34" s="6" t="s">
        <v>46</v>
      </c>
      <c r="D34" s="7" t="n">
        <v>46087</v>
      </c>
      <c r="E34" s="6" t="n">
        <f aca="false">YEAR(D34)</f>
        <v>2026</v>
      </c>
      <c r="F34" s="6" t="str">
        <f aca="false">YEAR(D34)&amp;"Q"&amp;ROUNDUP(MONTH(D34)/3,0)</f>
        <v>2026Q1</v>
      </c>
      <c r="G34" s="6" t="str">
        <f aca="false">YEAR(D34)&amp;"H"&amp;IF(MONTH(D34)&lt;=6,1,2)</f>
        <v>2026H1</v>
      </c>
      <c r="H34" s="5" t="s">
        <v>42</v>
      </c>
      <c r="I34" s="6" t="n">
        <v>3</v>
      </c>
      <c r="J34" s="6" t="n">
        <v>2</v>
      </c>
      <c r="K34" s="6" t="n">
        <v>1</v>
      </c>
      <c r="L34" s="6" t="n">
        <v>2</v>
      </c>
      <c r="M34" s="6" t="str">
        <f aca="false">I34&amp;"室"&amp;J34&amp;"厅"&amp;L34&amp;"卫"</f>
        <v>3室2厅2卫</v>
      </c>
      <c r="N34" s="8" t="n">
        <v>113.37</v>
      </c>
      <c r="O34" s="6" t="str">
        <f aca="false">IF(N34&lt;60,"60㎡以下",IF(N34&lt;90,"75-77㎡",IF(N34&lt;100,"94-97㎡",IF(N34&lt;120,"106-117㎡",IF(N34&lt;150,"124㎡","150㎡以上")))))</f>
        <v>106-117㎡</v>
      </c>
      <c r="P34" s="6" t="s">
        <v>50</v>
      </c>
      <c r="Q34" s="6" t="n">
        <v>33</v>
      </c>
      <c r="R34" s="6" t="s">
        <v>48</v>
      </c>
      <c r="S34" s="6" t="str">
        <f aca="false">IF(AND(ISNUMBER(SEARCH("南",R34)),ISNUMBER(SEARCH("北",R34))),"是","否")</f>
        <v>否</v>
      </c>
      <c r="T34" s="6" t="s">
        <v>45</v>
      </c>
      <c r="U34" s="9" t="n">
        <v>148.4</v>
      </c>
      <c r="V34" s="10" t="n">
        <v>13090</v>
      </c>
      <c r="W34" s="10" t="n">
        <f aca="false">ROUND(U34*10000/N34,0)</f>
        <v>13090</v>
      </c>
      <c r="X34" s="11" t="n">
        <f aca="false">W34-V34</f>
        <v>0</v>
      </c>
      <c r="Y34" s="6" t="str">
        <f aca="false">IF(AND(I34=3,N34&gt;=本案估值!$C$7,N34&lt;=本案估值!$C$8,D34&gt;=本案估值!$C$9),"是","否")</f>
        <v>是</v>
      </c>
    </row>
    <row r="35" customFormat="false" ht="15" hidden="false" customHeight="false" outlineLevel="0" collapsed="false">
      <c r="A35" s="13" t="n">
        <v>34</v>
      </c>
      <c r="B35" s="13" t="n">
        <v>9</v>
      </c>
      <c r="C35" s="13" t="s">
        <v>46</v>
      </c>
      <c r="D35" s="14" t="n">
        <v>46084</v>
      </c>
      <c r="E35" s="13" t="n">
        <f aca="false">YEAR(D35)</f>
        <v>2026</v>
      </c>
      <c r="F35" s="13" t="str">
        <f aca="false">YEAR(D35)&amp;"Q"&amp;ROUNDUP(MONTH(D35)/3,0)</f>
        <v>2026Q1</v>
      </c>
      <c r="G35" s="13" t="str">
        <f aca="false">YEAR(D35)&amp;"H"&amp;IF(MONTH(D35)&lt;=6,1,2)</f>
        <v>2026H1</v>
      </c>
      <c r="H35" s="12" t="s">
        <v>42</v>
      </c>
      <c r="I35" s="13" t="n">
        <v>3</v>
      </c>
      <c r="J35" s="13" t="n">
        <v>2</v>
      </c>
      <c r="K35" s="13" t="n">
        <v>1</v>
      </c>
      <c r="L35" s="13" t="n">
        <v>2</v>
      </c>
      <c r="M35" s="13" t="str">
        <f aca="false">I35&amp;"室"&amp;J35&amp;"厅"&amp;L35&amp;"卫"</f>
        <v>3室2厅2卫</v>
      </c>
      <c r="N35" s="15" t="n">
        <v>109.99</v>
      </c>
      <c r="O35" s="13" t="str">
        <f aca="false">IF(N35&lt;60,"60㎡以下",IF(N35&lt;90,"75-77㎡",IF(N35&lt;100,"94-97㎡",IF(N35&lt;120,"106-117㎡",IF(N35&lt;150,"124㎡","150㎡以上")))))</f>
        <v>106-117㎡</v>
      </c>
      <c r="P35" s="13" t="s">
        <v>43</v>
      </c>
      <c r="Q35" s="13" t="n">
        <v>33</v>
      </c>
      <c r="R35" s="13" t="s">
        <v>48</v>
      </c>
      <c r="S35" s="13" t="str">
        <f aca="false">IF(AND(ISNUMBER(SEARCH("南",R35)),ISNUMBER(SEARCH("北",R35))),"是","否")</f>
        <v>否</v>
      </c>
      <c r="T35" s="13" t="s">
        <v>45</v>
      </c>
      <c r="U35" s="16" t="n">
        <v>121.8</v>
      </c>
      <c r="V35" s="17" t="n">
        <v>11074</v>
      </c>
      <c r="W35" s="17" t="n">
        <f aca="false">ROUND(U35*10000/N35,0)</f>
        <v>11074</v>
      </c>
      <c r="X35" s="18" t="n">
        <f aca="false">W35-V35</f>
        <v>0</v>
      </c>
      <c r="Y35" s="13" t="str">
        <f aca="false">IF(AND(I35=3,N35&gt;=本案估值!$C$7,N35&lt;=本案估值!$C$8,D35&gt;=本案估值!$C$9),"是","否")</f>
        <v>是</v>
      </c>
    </row>
    <row r="36" customFormat="false" ht="15" hidden="false" customHeight="false" outlineLevel="0" collapsed="false">
      <c r="A36" s="6" t="n">
        <v>35</v>
      </c>
      <c r="B36" s="6" t="n">
        <v>9</v>
      </c>
      <c r="C36" s="6" t="s">
        <v>46</v>
      </c>
      <c r="D36" s="7" t="n">
        <v>46082</v>
      </c>
      <c r="E36" s="6" t="n">
        <f aca="false">YEAR(D36)</f>
        <v>2026</v>
      </c>
      <c r="F36" s="6" t="str">
        <f aca="false">YEAR(D36)&amp;"Q"&amp;ROUNDUP(MONTH(D36)/3,0)</f>
        <v>2026Q1</v>
      </c>
      <c r="G36" s="6" t="str">
        <f aca="false">YEAR(D36)&amp;"H"&amp;IF(MONTH(D36)&lt;=6,1,2)</f>
        <v>2026H1</v>
      </c>
      <c r="H36" s="5" t="s">
        <v>53</v>
      </c>
      <c r="I36" s="6" t="n">
        <v>3</v>
      </c>
      <c r="J36" s="6" t="n">
        <v>2</v>
      </c>
      <c r="K36" s="6" t="n">
        <v>1</v>
      </c>
      <c r="L36" s="6" t="n">
        <v>1</v>
      </c>
      <c r="M36" s="6" t="str">
        <f aca="false">I36&amp;"室"&amp;J36&amp;"厅"&amp;L36&amp;"卫"</f>
        <v>3室2厅1卫</v>
      </c>
      <c r="N36" s="8" t="n">
        <v>96.39</v>
      </c>
      <c r="O36" s="6" t="str">
        <f aca="false">IF(N36&lt;60,"60㎡以下",IF(N36&lt;90,"75-77㎡",IF(N36&lt;100,"94-97㎡",IF(N36&lt;120,"106-117㎡",IF(N36&lt;150,"124㎡","150㎡以上")))))</f>
        <v>94-97㎡</v>
      </c>
      <c r="P36" s="6" t="s">
        <v>50</v>
      </c>
      <c r="Q36" s="6" t="n">
        <v>33</v>
      </c>
      <c r="R36" s="6" t="s">
        <v>48</v>
      </c>
      <c r="S36" s="6" t="str">
        <f aca="false">IF(AND(ISNUMBER(SEARCH("南",R36)),ISNUMBER(SEARCH("北",R36))),"是","否")</f>
        <v>否</v>
      </c>
      <c r="T36" s="6" t="s">
        <v>45</v>
      </c>
      <c r="U36" s="9" t="n">
        <v>98.8</v>
      </c>
      <c r="V36" s="10" t="n">
        <v>10250</v>
      </c>
      <c r="W36" s="10" t="n">
        <f aca="false">ROUND(U36*10000/N36,0)</f>
        <v>10250</v>
      </c>
      <c r="X36" s="11" t="n">
        <f aca="false">W36-V36</f>
        <v>0</v>
      </c>
      <c r="Y36" s="6" t="str">
        <f aca="false">IF(AND(I36=3,N36&gt;=本案估值!$C$7,N36&lt;=本案估值!$C$8,D36&gt;=本案估值!$C$9),"是","否")</f>
        <v>否</v>
      </c>
    </row>
    <row r="37" customFormat="false" ht="15" hidden="false" customHeight="false" outlineLevel="0" collapsed="false">
      <c r="A37" s="13" t="n">
        <v>36</v>
      </c>
      <c r="B37" s="13" t="n">
        <v>9</v>
      </c>
      <c r="C37" s="13" t="s">
        <v>46</v>
      </c>
      <c r="D37" s="14" t="n">
        <v>46053</v>
      </c>
      <c r="E37" s="13" t="n">
        <f aca="false">YEAR(D37)</f>
        <v>2026</v>
      </c>
      <c r="F37" s="13" t="str">
        <f aca="false">YEAR(D37)&amp;"Q"&amp;ROUNDUP(MONTH(D37)/3,0)</f>
        <v>2026Q1</v>
      </c>
      <c r="G37" s="13" t="str">
        <f aca="false">YEAR(D37)&amp;"H"&amp;IF(MONTH(D37)&lt;=6,1,2)</f>
        <v>2026H1</v>
      </c>
      <c r="H37" s="12" t="s">
        <v>53</v>
      </c>
      <c r="I37" s="13" t="n">
        <v>3</v>
      </c>
      <c r="J37" s="13" t="n">
        <v>2</v>
      </c>
      <c r="K37" s="13" t="n">
        <v>1</v>
      </c>
      <c r="L37" s="13" t="n">
        <v>1</v>
      </c>
      <c r="M37" s="13" t="str">
        <f aca="false">I37&amp;"室"&amp;J37&amp;"厅"&amp;L37&amp;"卫"</f>
        <v>3室2厅1卫</v>
      </c>
      <c r="N37" s="15" t="n">
        <v>94.86</v>
      </c>
      <c r="O37" s="13" t="str">
        <f aca="false">IF(N37&lt;60,"60㎡以下",IF(N37&lt;90,"75-77㎡",IF(N37&lt;100,"94-97㎡",IF(N37&lt;120,"106-117㎡",IF(N37&lt;150,"124㎡","150㎡以上")))))</f>
        <v>94-97㎡</v>
      </c>
      <c r="P37" s="13" t="s">
        <v>43</v>
      </c>
      <c r="Q37" s="13" t="n">
        <v>33</v>
      </c>
      <c r="R37" s="13" t="s">
        <v>48</v>
      </c>
      <c r="S37" s="13" t="str">
        <f aca="false">IF(AND(ISNUMBER(SEARCH("南",R37)),ISNUMBER(SEARCH("北",R37))),"是","否")</f>
        <v>否</v>
      </c>
      <c r="T37" s="13" t="s">
        <v>45</v>
      </c>
      <c r="U37" s="16" t="n">
        <v>103.5</v>
      </c>
      <c r="V37" s="17" t="n">
        <v>10911</v>
      </c>
      <c r="W37" s="17" t="n">
        <f aca="false">ROUND(U37*10000/N37,0)</f>
        <v>10911</v>
      </c>
      <c r="X37" s="18" t="n">
        <f aca="false">W37-V37</f>
        <v>0</v>
      </c>
      <c r="Y37" s="13" t="str">
        <f aca="false">IF(AND(I37=3,N37&gt;=本案估值!$C$7,N37&lt;=本案估值!$C$8,D37&gt;=本案估值!$C$9),"是","否")</f>
        <v>否</v>
      </c>
    </row>
    <row r="38" customFormat="false" ht="15" hidden="false" customHeight="false" outlineLevel="0" collapsed="false">
      <c r="A38" s="6" t="n">
        <v>37</v>
      </c>
      <c r="B38" s="6" t="n">
        <v>10</v>
      </c>
      <c r="C38" s="6" t="s">
        <v>46</v>
      </c>
      <c r="D38" s="7" t="n">
        <v>46009</v>
      </c>
      <c r="E38" s="6" t="n">
        <f aca="false">YEAR(D38)</f>
        <v>2025</v>
      </c>
      <c r="F38" s="6" t="str">
        <f aca="false">YEAR(D38)&amp;"Q"&amp;ROUNDUP(MONTH(D38)/3,0)</f>
        <v>2025Q4</v>
      </c>
      <c r="G38" s="6" t="str">
        <f aca="false">YEAR(D38)&amp;"H"&amp;IF(MONTH(D38)&lt;=6,1,2)</f>
        <v>2025H2</v>
      </c>
      <c r="H38" s="5" t="s">
        <v>57</v>
      </c>
      <c r="I38" s="6" t="n">
        <v>2</v>
      </c>
      <c r="J38" s="6" t="n">
        <v>2</v>
      </c>
      <c r="K38" s="6" t="n">
        <v>1</v>
      </c>
      <c r="L38" s="6" t="n">
        <v>1</v>
      </c>
      <c r="M38" s="6" t="str">
        <f aca="false">I38&amp;"室"&amp;J38&amp;"厅"&amp;L38&amp;"卫"</f>
        <v>2室2厅1卫</v>
      </c>
      <c r="N38" s="8" t="n">
        <v>76.1</v>
      </c>
      <c r="O38" s="6" t="str">
        <f aca="false">IF(N38&lt;60,"60㎡以下",IF(N38&lt;90,"75-77㎡",IF(N38&lt;100,"94-97㎡",IF(N38&lt;120,"106-117㎡",IF(N38&lt;150,"124㎡","150㎡以上")))))</f>
        <v>75-77㎡</v>
      </c>
      <c r="P38" s="6" t="s">
        <v>50</v>
      </c>
      <c r="Q38" s="6" t="n">
        <v>33</v>
      </c>
      <c r="R38" s="6" t="s">
        <v>48</v>
      </c>
      <c r="S38" s="6" t="str">
        <f aca="false">IF(AND(ISNUMBER(SEARCH("南",R38)),ISNUMBER(SEARCH("北",R38))),"是","否")</f>
        <v>否</v>
      </c>
      <c r="T38" s="6" t="s">
        <v>45</v>
      </c>
      <c r="U38" s="9" t="n">
        <v>76</v>
      </c>
      <c r="V38" s="10" t="n">
        <v>9987</v>
      </c>
      <c r="W38" s="10" t="n">
        <f aca="false">ROUND(U38*10000/N38,0)</f>
        <v>9987</v>
      </c>
      <c r="X38" s="11" t="n">
        <f aca="false">W38-V38</f>
        <v>0</v>
      </c>
      <c r="Y38" s="6" t="str">
        <f aca="false">IF(AND(I38=3,N38&gt;=本案估值!$C$7,N38&lt;=本案估值!$C$8,D38&gt;=本案估值!$C$9),"是","否")</f>
        <v>否</v>
      </c>
    </row>
    <row r="39" customFormat="false" ht="15" hidden="false" customHeight="false" outlineLevel="0" collapsed="false">
      <c r="A39" s="13" t="n">
        <v>38</v>
      </c>
      <c r="B39" s="13" t="n">
        <v>10</v>
      </c>
      <c r="C39" s="13" t="s">
        <v>46</v>
      </c>
      <c r="D39" s="14" t="n">
        <v>46009</v>
      </c>
      <c r="E39" s="13" t="n">
        <f aca="false">YEAR(D39)</f>
        <v>2025</v>
      </c>
      <c r="F39" s="13" t="str">
        <f aca="false">YEAR(D39)&amp;"Q"&amp;ROUNDUP(MONTH(D39)/3,0)</f>
        <v>2025Q4</v>
      </c>
      <c r="G39" s="13" t="str">
        <f aca="false">YEAR(D39)&amp;"H"&amp;IF(MONTH(D39)&lt;=6,1,2)</f>
        <v>2025H2</v>
      </c>
      <c r="H39" s="12" t="s">
        <v>57</v>
      </c>
      <c r="I39" s="13" t="n">
        <v>2</v>
      </c>
      <c r="J39" s="13" t="n">
        <v>2</v>
      </c>
      <c r="K39" s="13" t="n">
        <v>1</v>
      </c>
      <c r="L39" s="13" t="n">
        <v>1</v>
      </c>
      <c r="M39" s="13" t="str">
        <f aca="false">I39&amp;"室"&amp;J39&amp;"厅"&amp;L39&amp;"卫"</f>
        <v>2室2厅1卫</v>
      </c>
      <c r="N39" s="15" t="n">
        <v>75.68</v>
      </c>
      <c r="O39" s="13" t="str">
        <f aca="false">IF(N39&lt;60,"60㎡以下",IF(N39&lt;90,"75-77㎡",IF(N39&lt;100,"94-97㎡",IF(N39&lt;120,"106-117㎡",IF(N39&lt;150,"124㎡","150㎡以上")))))</f>
        <v>75-77㎡</v>
      </c>
      <c r="P39" s="13" t="s">
        <v>49</v>
      </c>
      <c r="Q39" s="13" t="n">
        <v>33</v>
      </c>
      <c r="R39" s="13" t="s">
        <v>48</v>
      </c>
      <c r="S39" s="13" t="str">
        <f aca="false">IF(AND(ISNUMBER(SEARCH("南",R39)),ISNUMBER(SEARCH("北",R39))),"是","否")</f>
        <v>否</v>
      </c>
      <c r="T39" s="13" t="s">
        <v>45</v>
      </c>
      <c r="U39" s="16" t="n">
        <v>72</v>
      </c>
      <c r="V39" s="17" t="n">
        <v>9514</v>
      </c>
      <c r="W39" s="17" t="n">
        <f aca="false">ROUND(U39*10000/N39,0)</f>
        <v>9514</v>
      </c>
      <c r="X39" s="18" t="n">
        <f aca="false">W39-V39</f>
        <v>0</v>
      </c>
      <c r="Y39" s="13" t="str">
        <f aca="false">IF(AND(I39=3,N39&gt;=本案估值!$C$7,N39&lt;=本案估值!$C$8,D39&gt;=本案估值!$C$9),"是","否")</f>
        <v>否</v>
      </c>
    </row>
    <row r="40" customFormat="false" ht="15" hidden="false" customHeight="false" outlineLevel="0" collapsed="false">
      <c r="A40" s="6" t="n">
        <v>39</v>
      </c>
      <c r="B40" s="6" t="n">
        <v>10</v>
      </c>
      <c r="C40" s="6" t="s">
        <v>46</v>
      </c>
      <c r="D40" s="7" t="n">
        <v>46007</v>
      </c>
      <c r="E40" s="6" t="n">
        <f aca="false">YEAR(D40)</f>
        <v>2025</v>
      </c>
      <c r="F40" s="6" t="str">
        <f aca="false">YEAR(D40)&amp;"Q"&amp;ROUNDUP(MONTH(D40)/3,0)</f>
        <v>2025Q4</v>
      </c>
      <c r="G40" s="6" t="str">
        <f aca="false">YEAR(D40)&amp;"H"&amp;IF(MONTH(D40)&lt;=6,1,2)</f>
        <v>2025H2</v>
      </c>
      <c r="H40" s="5" t="s">
        <v>53</v>
      </c>
      <c r="I40" s="6" t="n">
        <v>3</v>
      </c>
      <c r="J40" s="6" t="n">
        <v>2</v>
      </c>
      <c r="K40" s="6" t="n">
        <v>1</v>
      </c>
      <c r="L40" s="6" t="n">
        <v>1</v>
      </c>
      <c r="M40" s="6" t="str">
        <f aca="false">I40&amp;"室"&amp;J40&amp;"厅"&amp;L40&amp;"卫"</f>
        <v>3室2厅1卫</v>
      </c>
      <c r="N40" s="8" t="n">
        <v>96.4</v>
      </c>
      <c r="O40" s="6" t="str">
        <f aca="false">IF(N40&lt;60,"60㎡以下",IF(N40&lt;90,"75-77㎡",IF(N40&lt;100,"94-97㎡",IF(N40&lt;120,"106-117㎡",IF(N40&lt;150,"124㎡","150㎡以上")))))</f>
        <v>94-97㎡</v>
      </c>
      <c r="P40" s="6" t="s">
        <v>43</v>
      </c>
      <c r="Q40" s="6" t="n">
        <v>33</v>
      </c>
      <c r="R40" s="6" t="s">
        <v>44</v>
      </c>
      <c r="S40" s="6" t="str">
        <f aca="false">IF(AND(ISNUMBER(SEARCH("南",R40)),ISNUMBER(SEARCH("北",R40))),"是","否")</f>
        <v>否</v>
      </c>
      <c r="T40" s="6" t="s">
        <v>45</v>
      </c>
      <c r="U40" s="9" t="n">
        <v>107.5</v>
      </c>
      <c r="V40" s="10" t="n">
        <v>11151</v>
      </c>
      <c r="W40" s="10" t="n">
        <f aca="false">ROUND(U40*10000/N40,0)</f>
        <v>11151</v>
      </c>
      <c r="X40" s="11" t="n">
        <f aca="false">W40-V40</f>
        <v>0</v>
      </c>
      <c r="Y40" s="6" t="str">
        <f aca="false">IF(AND(I40=3,N40&gt;=本案估值!$C$7,N40&lt;=本案估值!$C$8,D40&gt;=本案估值!$C$9),"是","否")</f>
        <v>否</v>
      </c>
    </row>
    <row r="41" customFormat="false" ht="15" hidden="false" customHeight="false" outlineLevel="0" collapsed="false">
      <c r="A41" s="13" t="n">
        <v>40</v>
      </c>
      <c r="B41" s="13" t="n">
        <v>10</v>
      </c>
      <c r="C41" s="13" t="s">
        <v>46</v>
      </c>
      <c r="D41" s="14" t="n">
        <v>45999</v>
      </c>
      <c r="E41" s="13" t="n">
        <f aca="false">YEAR(D41)</f>
        <v>2025</v>
      </c>
      <c r="F41" s="13" t="str">
        <f aca="false">YEAR(D41)&amp;"Q"&amp;ROUNDUP(MONTH(D41)/3,0)</f>
        <v>2025Q4</v>
      </c>
      <c r="G41" s="13" t="str">
        <f aca="false">YEAR(D41)&amp;"H"&amp;IF(MONTH(D41)&lt;=6,1,2)</f>
        <v>2025H2</v>
      </c>
      <c r="H41" s="12" t="s">
        <v>42</v>
      </c>
      <c r="I41" s="13" t="n">
        <v>3</v>
      </c>
      <c r="J41" s="13" t="n">
        <v>2</v>
      </c>
      <c r="K41" s="13" t="n">
        <v>1</v>
      </c>
      <c r="L41" s="13" t="n">
        <v>2</v>
      </c>
      <c r="M41" s="13" t="str">
        <f aca="false">I41&amp;"室"&amp;J41&amp;"厅"&amp;L41&amp;"卫"</f>
        <v>3室2厅2卫</v>
      </c>
      <c r="N41" s="15" t="n">
        <v>124.3</v>
      </c>
      <c r="O41" s="13" t="str">
        <f aca="false">IF(N41&lt;60,"60㎡以下",IF(N41&lt;90,"75-77㎡",IF(N41&lt;100,"94-97㎡",IF(N41&lt;120,"106-117㎡",IF(N41&lt;150,"124㎡","150㎡以上")))))</f>
        <v>124㎡</v>
      </c>
      <c r="P41" s="13" t="s">
        <v>43</v>
      </c>
      <c r="Q41" s="13" t="n">
        <v>33</v>
      </c>
      <c r="R41" s="13" t="s">
        <v>48</v>
      </c>
      <c r="S41" s="13" t="str">
        <f aca="false">IF(AND(ISNUMBER(SEARCH("南",R41)),ISNUMBER(SEARCH("北",R41))),"是","否")</f>
        <v>否</v>
      </c>
      <c r="T41" s="13" t="s">
        <v>45</v>
      </c>
      <c r="U41" s="16" t="n">
        <v>168</v>
      </c>
      <c r="V41" s="17" t="n">
        <v>13516</v>
      </c>
      <c r="W41" s="17" t="n">
        <f aca="false">ROUND(U41*10000/N41,0)</f>
        <v>13516</v>
      </c>
      <c r="X41" s="18" t="n">
        <f aca="false">W41-V41</f>
        <v>0</v>
      </c>
      <c r="Y41" s="13" t="str">
        <f aca="false">IF(AND(I41=3,N41&gt;=本案估值!$C$7,N41&lt;=本案估值!$C$8,D41&gt;=本案估值!$C$9),"是","否")</f>
        <v>否</v>
      </c>
    </row>
    <row r="42" customFormat="false" ht="26.85" hidden="false" customHeight="false" outlineLevel="0" collapsed="false">
      <c r="A42" s="6" t="n">
        <v>41</v>
      </c>
      <c r="B42" s="6" t="n">
        <v>11</v>
      </c>
      <c r="C42" s="6" t="s">
        <v>62</v>
      </c>
      <c r="D42" s="7" t="n">
        <v>45997</v>
      </c>
      <c r="E42" s="6" t="n">
        <f aca="false">YEAR(D42)</f>
        <v>2025</v>
      </c>
      <c r="F42" s="6" t="str">
        <f aca="false">YEAR(D42)&amp;"Q"&amp;ROUNDUP(MONTH(D42)/3,0)</f>
        <v>2025Q4</v>
      </c>
      <c r="G42" s="6" t="str">
        <f aca="false">YEAR(D42)&amp;"H"&amp;IF(MONTH(D42)&lt;=6,1,2)</f>
        <v>2025H2</v>
      </c>
      <c r="H42" s="5" t="s">
        <v>42</v>
      </c>
      <c r="I42" s="6" t="n">
        <v>3</v>
      </c>
      <c r="J42" s="6" t="n">
        <v>2</v>
      </c>
      <c r="K42" s="6" t="n">
        <v>1</v>
      </c>
      <c r="L42" s="6" t="n">
        <v>2</v>
      </c>
      <c r="M42" s="6" t="str">
        <f aca="false">I42&amp;"室"&amp;J42&amp;"厅"&amp;L42&amp;"卫"</f>
        <v>3室2厅2卫</v>
      </c>
      <c r="N42" s="8" t="n">
        <v>106.41</v>
      </c>
      <c r="O42" s="6" t="str">
        <f aca="false">IF(N42&lt;60,"60㎡以下",IF(N42&lt;90,"75-77㎡",IF(N42&lt;100,"94-97㎡",IF(N42&lt;120,"106-117㎡",IF(N42&lt;150,"124㎡","150㎡以上")))))</f>
        <v>106-117㎡</v>
      </c>
      <c r="P42" s="6" t="s">
        <v>50</v>
      </c>
      <c r="Q42" s="6" t="n">
        <v>33</v>
      </c>
      <c r="R42" s="6" t="s">
        <v>58</v>
      </c>
      <c r="S42" s="6" t="str">
        <f aca="false">IF(AND(ISNUMBER(SEARCH("南",R42)),ISNUMBER(SEARCH("北",R42))),"是","否")</f>
        <v>是</v>
      </c>
      <c r="T42" s="6" t="s">
        <v>45</v>
      </c>
      <c r="U42" s="9" t="n">
        <v>129.9</v>
      </c>
      <c r="V42" s="10" t="n">
        <v>12206</v>
      </c>
      <c r="W42" s="10" t="n">
        <f aca="false">ROUND(U42*10000/N42,0)</f>
        <v>12207</v>
      </c>
      <c r="X42" s="11" t="n">
        <f aca="false">W42-V42</f>
        <v>1</v>
      </c>
      <c r="Y42" s="6" t="str">
        <f aca="false">IF(AND(I42=3,N42&gt;=本案估值!$C$7,N42&lt;=本案估值!$C$8,D42&gt;=本案估值!$C$9),"是","否")</f>
        <v>否</v>
      </c>
    </row>
    <row r="43" customFormat="false" ht="15" hidden="false" customHeight="false" outlineLevel="0" collapsed="false">
      <c r="A43" s="13" t="n">
        <v>42</v>
      </c>
      <c r="B43" s="13" t="n">
        <v>11</v>
      </c>
      <c r="C43" s="13" t="s">
        <v>46</v>
      </c>
      <c r="D43" s="14" t="n">
        <v>45990</v>
      </c>
      <c r="E43" s="13" t="n">
        <f aca="false">YEAR(D43)</f>
        <v>2025</v>
      </c>
      <c r="F43" s="13" t="str">
        <f aca="false">YEAR(D43)&amp;"Q"&amp;ROUNDUP(MONTH(D43)/3,0)</f>
        <v>2025Q4</v>
      </c>
      <c r="G43" s="13" t="str">
        <f aca="false">YEAR(D43)&amp;"H"&amp;IF(MONTH(D43)&lt;=6,1,2)</f>
        <v>2025H2</v>
      </c>
      <c r="H43" s="12" t="s">
        <v>57</v>
      </c>
      <c r="I43" s="13" t="n">
        <v>2</v>
      </c>
      <c r="J43" s="13" t="n">
        <v>2</v>
      </c>
      <c r="K43" s="13" t="n">
        <v>1</v>
      </c>
      <c r="L43" s="13" t="n">
        <v>1</v>
      </c>
      <c r="M43" s="13" t="str">
        <f aca="false">I43&amp;"室"&amp;J43&amp;"厅"&amp;L43&amp;"卫"</f>
        <v>2室2厅1卫</v>
      </c>
      <c r="N43" s="15" t="n">
        <v>75.46</v>
      </c>
      <c r="O43" s="13" t="str">
        <f aca="false">IF(N43&lt;60,"60㎡以下",IF(N43&lt;90,"75-77㎡",IF(N43&lt;100,"94-97㎡",IF(N43&lt;120,"106-117㎡",IF(N43&lt;150,"124㎡","150㎡以上")))))</f>
        <v>75-77㎡</v>
      </c>
      <c r="P43" s="13" t="s">
        <v>43</v>
      </c>
      <c r="Q43" s="13" t="n">
        <v>33</v>
      </c>
      <c r="R43" s="13" t="s">
        <v>48</v>
      </c>
      <c r="S43" s="13" t="str">
        <f aca="false">IF(AND(ISNUMBER(SEARCH("南",R43)),ISNUMBER(SEARCH("北",R43))),"是","否")</f>
        <v>否</v>
      </c>
      <c r="T43" s="13" t="s">
        <v>45</v>
      </c>
      <c r="U43" s="16" t="n">
        <v>78</v>
      </c>
      <c r="V43" s="17" t="n">
        <v>10337</v>
      </c>
      <c r="W43" s="17" t="n">
        <f aca="false">ROUND(U43*10000/N43,0)</f>
        <v>10337</v>
      </c>
      <c r="X43" s="18" t="n">
        <f aca="false">W43-V43</f>
        <v>0</v>
      </c>
      <c r="Y43" s="13" t="str">
        <f aca="false">IF(AND(I43=3,N43&gt;=本案估值!$C$7,N43&lt;=本案估值!$C$8,D43&gt;=本案估值!$C$9),"是","否")</f>
        <v>否</v>
      </c>
    </row>
    <row r="44" customFormat="false" ht="15" hidden="false" customHeight="false" outlineLevel="0" collapsed="false">
      <c r="A44" s="6" t="n">
        <v>43</v>
      </c>
      <c r="B44" s="6" t="n">
        <v>11</v>
      </c>
      <c r="C44" s="6" t="s">
        <v>46</v>
      </c>
      <c r="D44" s="7" t="n">
        <v>45989</v>
      </c>
      <c r="E44" s="6" t="n">
        <f aca="false">YEAR(D44)</f>
        <v>2025</v>
      </c>
      <c r="F44" s="6" t="str">
        <f aca="false">YEAR(D44)&amp;"Q"&amp;ROUNDUP(MONTH(D44)/3,0)</f>
        <v>2025Q4</v>
      </c>
      <c r="G44" s="6" t="str">
        <f aca="false">YEAR(D44)&amp;"H"&amp;IF(MONTH(D44)&lt;=6,1,2)</f>
        <v>2025H2</v>
      </c>
      <c r="H44" s="5" t="s">
        <v>57</v>
      </c>
      <c r="I44" s="6" t="n">
        <v>2</v>
      </c>
      <c r="J44" s="6" t="n">
        <v>2</v>
      </c>
      <c r="K44" s="6" t="n">
        <v>1</v>
      </c>
      <c r="L44" s="6" t="n">
        <v>1</v>
      </c>
      <c r="M44" s="6" t="str">
        <f aca="false">I44&amp;"室"&amp;J44&amp;"厅"&amp;L44&amp;"卫"</f>
        <v>2室2厅1卫</v>
      </c>
      <c r="N44" s="8" t="n">
        <v>76.1</v>
      </c>
      <c r="O44" s="6" t="str">
        <f aca="false">IF(N44&lt;60,"60㎡以下",IF(N44&lt;90,"75-77㎡",IF(N44&lt;100,"94-97㎡",IF(N44&lt;120,"106-117㎡",IF(N44&lt;150,"124㎡","150㎡以上")))))</f>
        <v>75-77㎡</v>
      </c>
      <c r="P44" s="6" t="s">
        <v>43</v>
      </c>
      <c r="Q44" s="6" t="n">
        <v>33</v>
      </c>
      <c r="R44" s="6" t="s">
        <v>58</v>
      </c>
      <c r="S44" s="6" t="str">
        <f aca="false">IF(AND(ISNUMBER(SEARCH("南",R44)),ISNUMBER(SEARCH("北",R44))),"是","否")</f>
        <v>是</v>
      </c>
      <c r="T44" s="6" t="s">
        <v>45</v>
      </c>
      <c r="U44" s="9" t="n">
        <v>78</v>
      </c>
      <c r="V44" s="10" t="n">
        <v>10250</v>
      </c>
      <c r="W44" s="10" t="n">
        <f aca="false">ROUND(U44*10000/N44,0)</f>
        <v>10250</v>
      </c>
      <c r="X44" s="11" t="n">
        <f aca="false">W44-V44</f>
        <v>0</v>
      </c>
      <c r="Y44" s="6" t="str">
        <f aca="false">IF(AND(I44=3,N44&gt;=本案估值!$C$7,N44&lt;=本案估值!$C$8,D44&gt;=本案估值!$C$9),"是","否")</f>
        <v>否</v>
      </c>
    </row>
    <row r="45" customFormat="false" ht="15" hidden="false" customHeight="false" outlineLevel="0" collapsed="false">
      <c r="A45" s="13" t="n">
        <v>44</v>
      </c>
      <c r="B45" s="13" t="n">
        <v>11</v>
      </c>
      <c r="C45" s="13" t="s">
        <v>46</v>
      </c>
      <c r="D45" s="14" t="n">
        <v>45985</v>
      </c>
      <c r="E45" s="13" t="n">
        <f aca="false">YEAR(D45)</f>
        <v>2025</v>
      </c>
      <c r="F45" s="13" t="str">
        <f aca="false">YEAR(D45)&amp;"Q"&amp;ROUNDUP(MONTH(D45)/3,0)</f>
        <v>2025Q4</v>
      </c>
      <c r="G45" s="13" t="str">
        <f aca="false">YEAR(D45)&amp;"H"&amp;IF(MONTH(D45)&lt;=6,1,2)</f>
        <v>2025H2</v>
      </c>
      <c r="H45" s="12" t="s">
        <v>63</v>
      </c>
      <c r="I45" s="13" t="n">
        <v>3</v>
      </c>
      <c r="J45" s="13" t="n">
        <v>1</v>
      </c>
      <c r="K45" s="13" t="n">
        <v>1</v>
      </c>
      <c r="L45" s="13" t="n">
        <v>2</v>
      </c>
      <c r="M45" s="13" t="str">
        <f aca="false">I45&amp;"室"&amp;J45&amp;"厅"&amp;L45&amp;"卫"</f>
        <v>3室1厅2卫</v>
      </c>
      <c r="N45" s="15" t="n">
        <v>96.86</v>
      </c>
      <c r="O45" s="13" t="str">
        <f aca="false">IF(N45&lt;60,"60㎡以下",IF(N45&lt;90,"75-77㎡",IF(N45&lt;100,"94-97㎡",IF(N45&lt;120,"106-117㎡",IF(N45&lt;150,"124㎡","150㎡以上")))))</f>
        <v>94-97㎡</v>
      </c>
      <c r="P45" s="13" t="s">
        <v>50</v>
      </c>
      <c r="Q45" s="13" t="n">
        <v>33</v>
      </c>
      <c r="R45" s="13" t="s">
        <v>64</v>
      </c>
      <c r="S45" s="13" t="str">
        <f aca="false">IF(AND(ISNUMBER(SEARCH("南",R45)),ISNUMBER(SEARCH("北",R45))),"是","否")</f>
        <v>否</v>
      </c>
      <c r="T45" s="13" t="s">
        <v>45</v>
      </c>
      <c r="U45" s="16" t="n">
        <v>101</v>
      </c>
      <c r="V45" s="17" t="n">
        <v>10427</v>
      </c>
      <c r="W45" s="17" t="n">
        <f aca="false">ROUND(U45*10000/N45,0)</f>
        <v>10427</v>
      </c>
      <c r="X45" s="18" t="n">
        <f aca="false">W45-V45</f>
        <v>0</v>
      </c>
      <c r="Y45" s="13" t="str">
        <f aca="false">IF(AND(I45=3,N45&gt;=本案估值!$C$7,N45&lt;=本案估值!$C$8,D45&gt;=本案估值!$C$9),"是","否")</f>
        <v>否</v>
      </c>
    </row>
    <row r="46" customFormat="false" ht="15" hidden="false" customHeight="false" outlineLevel="0" collapsed="false">
      <c r="A46" s="6" t="n">
        <v>45</v>
      </c>
      <c r="B46" s="6" t="n">
        <v>12</v>
      </c>
      <c r="C46" s="6" t="s">
        <v>46</v>
      </c>
      <c r="D46" s="7" t="n">
        <v>45978</v>
      </c>
      <c r="E46" s="6" t="n">
        <f aca="false">YEAR(D46)</f>
        <v>2025</v>
      </c>
      <c r="F46" s="6" t="str">
        <f aca="false">YEAR(D46)&amp;"Q"&amp;ROUNDUP(MONTH(D46)/3,0)</f>
        <v>2025Q4</v>
      </c>
      <c r="G46" s="6" t="str">
        <f aca="false">YEAR(D46)&amp;"H"&amp;IF(MONTH(D46)&lt;=6,1,2)</f>
        <v>2025H2</v>
      </c>
      <c r="H46" s="5" t="s">
        <v>53</v>
      </c>
      <c r="I46" s="6" t="n">
        <v>3</v>
      </c>
      <c r="J46" s="6" t="n">
        <v>2</v>
      </c>
      <c r="K46" s="6" t="n">
        <v>1</v>
      </c>
      <c r="L46" s="6" t="n">
        <v>1</v>
      </c>
      <c r="M46" s="6" t="str">
        <f aca="false">I46&amp;"室"&amp;J46&amp;"厅"&amp;L46&amp;"卫"</f>
        <v>3室2厅1卫</v>
      </c>
      <c r="N46" s="8" t="n">
        <v>96.39</v>
      </c>
      <c r="O46" s="6" t="str">
        <f aca="false">IF(N46&lt;60,"60㎡以下",IF(N46&lt;90,"75-77㎡",IF(N46&lt;100,"94-97㎡",IF(N46&lt;120,"106-117㎡",IF(N46&lt;150,"124㎡","150㎡以上")))))</f>
        <v>94-97㎡</v>
      </c>
      <c r="P46" s="6" t="s">
        <v>43</v>
      </c>
      <c r="Q46" s="6" t="n">
        <v>33</v>
      </c>
      <c r="R46" s="6" t="s">
        <v>48</v>
      </c>
      <c r="S46" s="6" t="str">
        <f aca="false">IF(AND(ISNUMBER(SEARCH("南",R46)),ISNUMBER(SEARCH("北",R46))),"是","否")</f>
        <v>否</v>
      </c>
      <c r="T46" s="6" t="s">
        <v>56</v>
      </c>
      <c r="U46" s="9" t="n">
        <v>103</v>
      </c>
      <c r="V46" s="10" t="n">
        <v>10686</v>
      </c>
      <c r="W46" s="10" t="n">
        <f aca="false">ROUND(U46*10000/N46,0)</f>
        <v>10686</v>
      </c>
      <c r="X46" s="11" t="n">
        <f aca="false">W46-V46</f>
        <v>0</v>
      </c>
      <c r="Y46" s="6" t="str">
        <f aca="false">IF(AND(I46=3,N46&gt;=本案估值!$C$7,N46&lt;=本案估值!$C$8,D46&gt;=本案估值!$C$9),"是","否")</f>
        <v>否</v>
      </c>
    </row>
    <row r="47" customFormat="false" ht="15" hidden="false" customHeight="false" outlineLevel="0" collapsed="false">
      <c r="A47" s="13" t="n">
        <v>46</v>
      </c>
      <c r="B47" s="13" t="n">
        <v>12</v>
      </c>
      <c r="C47" s="13" t="s">
        <v>46</v>
      </c>
      <c r="D47" s="14" t="n">
        <v>45973</v>
      </c>
      <c r="E47" s="13" t="n">
        <f aca="false">YEAR(D47)</f>
        <v>2025</v>
      </c>
      <c r="F47" s="13" t="str">
        <f aca="false">YEAR(D47)&amp;"Q"&amp;ROUNDUP(MONTH(D47)/3,0)</f>
        <v>2025Q4</v>
      </c>
      <c r="G47" s="13" t="str">
        <f aca="false">YEAR(D47)&amp;"H"&amp;IF(MONTH(D47)&lt;=6,1,2)</f>
        <v>2025H2</v>
      </c>
      <c r="H47" s="12" t="s">
        <v>53</v>
      </c>
      <c r="I47" s="13" t="n">
        <v>3</v>
      </c>
      <c r="J47" s="13" t="n">
        <v>2</v>
      </c>
      <c r="K47" s="13" t="n">
        <v>1</v>
      </c>
      <c r="L47" s="13" t="n">
        <v>1</v>
      </c>
      <c r="M47" s="13" t="str">
        <f aca="false">I47&amp;"室"&amp;J47&amp;"厅"&amp;L47&amp;"卫"</f>
        <v>3室2厅1卫</v>
      </c>
      <c r="N47" s="15" t="n">
        <v>96.39</v>
      </c>
      <c r="O47" s="13" t="str">
        <f aca="false">IF(N47&lt;60,"60㎡以下",IF(N47&lt;90,"75-77㎡",IF(N47&lt;100,"94-97㎡",IF(N47&lt;120,"106-117㎡",IF(N47&lt;150,"124㎡","150㎡以上")))))</f>
        <v>94-97㎡</v>
      </c>
      <c r="P47" s="13" t="s">
        <v>43</v>
      </c>
      <c r="Q47" s="13" t="n">
        <v>33</v>
      </c>
      <c r="R47" s="13" t="s">
        <v>48</v>
      </c>
      <c r="S47" s="13" t="str">
        <f aca="false">IF(AND(ISNUMBER(SEARCH("南",R47)),ISNUMBER(SEARCH("北",R47))),"是","否")</f>
        <v>否</v>
      </c>
      <c r="T47" s="13" t="s">
        <v>45</v>
      </c>
      <c r="U47" s="16" t="n">
        <v>102</v>
      </c>
      <c r="V47" s="17" t="n">
        <v>10582</v>
      </c>
      <c r="W47" s="17" t="n">
        <f aca="false">ROUND(U47*10000/N47,0)</f>
        <v>10582</v>
      </c>
      <c r="X47" s="18" t="n">
        <f aca="false">W47-V47</f>
        <v>0</v>
      </c>
      <c r="Y47" s="13" t="str">
        <f aca="false">IF(AND(I47=3,N47&gt;=本案估值!$C$7,N47&lt;=本案估值!$C$8,D47&gt;=本案估值!$C$9),"是","否")</f>
        <v>否</v>
      </c>
    </row>
    <row r="48" customFormat="false" ht="15" hidden="false" customHeight="false" outlineLevel="0" collapsed="false">
      <c r="A48" s="6" t="n">
        <v>47</v>
      </c>
      <c r="B48" s="6" t="n">
        <v>12</v>
      </c>
      <c r="C48" s="6" t="s">
        <v>46</v>
      </c>
      <c r="D48" s="7" t="n">
        <v>45972</v>
      </c>
      <c r="E48" s="6" t="n">
        <f aca="false">YEAR(D48)</f>
        <v>2025</v>
      </c>
      <c r="F48" s="6" t="str">
        <f aca="false">YEAR(D48)&amp;"Q"&amp;ROUNDUP(MONTH(D48)/3,0)</f>
        <v>2025Q4</v>
      </c>
      <c r="G48" s="6" t="str">
        <f aca="false">YEAR(D48)&amp;"H"&amp;IF(MONTH(D48)&lt;=6,1,2)</f>
        <v>2025H2</v>
      </c>
      <c r="H48" s="5" t="s">
        <v>53</v>
      </c>
      <c r="I48" s="6" t="n">
        <v>3</v>
      </c>
      <c r="J48" s="6" t="n">
        <v>2</v>
      </c>
      <c r="K48" s="6" t="n">
        <v>1</v>
      </c>
      <c r="L48" s="6" t="n">
        <v>1</v>
      </c>
      <c r="M48" s="6" t="str">
        <f aca="false">I48&amp;"室"&amp;J48&amp;"厅"&amp;L48&amp;"卫"</f>
        <v>3室2厅1卫</v>
      </c>
      <c r="N48" s="8" t="n">
        <v>96.39</v>
      </c>
      <c r="O48" s="6" t="str">
        <f aca="false">IF(N48&lt;60,"60㎡以下",IF(N48&lt;90,"75-77㎡",IF(N48&lt;100,"94-97㎡",IF(N48&lt;120,"106-117㎡",IF(N48&lt;150,"124㎡","150㎡以上")))))</f>
        <v>94-97㎡</v>
      </c>
      <c r="P48" s="6" t="s">
        <v>43</v>
      </c>
      <c r="Q48" s="6" t="n">
        <v>33</v>
      </c>
      <c r="R48" s="6" t="s">
        <v>48</v>
      </c>
      <c r="S48" s="6" t="str">
        <f aca="false">IF(AND(ISNUMBER(SEARCH("南",R48)),ISNUMBER(SEARCH("北",R48))),"是","否")</f>
        <v>否</v>
      </c>
      <c r="T48" s="6" t="s">
        <v>45</v>
      </c>
      <c r="U48" s="9" t="n">
        <v>108</v>
      </c>
      <c r="V48" s="10" t="n">
        <v>11204</v>
      </c>
      <c r="W48" s="10" t="n">
        <f aca="false">ROUND(U48*10000/N48,0)</f>
        <v>11204</v>
      </c>
      <c r="X48" s="11" t="n">
        <f aca="false">W48-V48</f>
        <v>0</v>
      </c>
      <c r="Y48" s="6" t="str">
        <f aca="false">IF(AND(I48=3,N48&gt;=本案估值!$C$7,N48&lt;=本案估值!$C$8,D48&gt;=本案估值!$C$9),"是","否")</f>
        <v>否</v>
      </c>
    </row>
    <row r="49" customFormat="false" ht="15" hidden="false" customHeight="false" outlineLevel="0" collapsed="false">
      <c r="A49" s="13" t="n">
        <v>48</v>
      </c>
      <c r="B49" s="13" t="n">
        <v>12</v>
      </c>
      <c r="C49" s="13" t="s">
        <v>46</v>
      </c>
      <c r="D49" s="14" t="n">
        <v>45971</v>
      </c>
      <c r="E49" s="13" t="n">
        <f aca="false">YEAR(D49)</f>
        <v>2025</v>
      </c>
      <c r="F49" s="13" t="str">
        <f aca="false">YEAR(D49)&amp;"Q"&amp;ROUNDUP(MONTH(D49)/3,0)</f>
        <v>2025Q4</v>
      </c>
      <c r="G49" s="13" t="str">
        <f aca="false">YEAR(D49)&amp;"H"&amp;IF(MONTH(D49)&lt;=6,1,2)</f>
        <v>2025H2</v>
      </c>
      <c r="H49" s="12" t="s">
        <v>57</v>
      </c>
      <c r="I49" s="13" t="n">
        <v>2</v>
      </c>
      <c r="J49" s="13" t="n">
        <v>2</v>
      </c>
      <c r="K49" s="13" t="n">
        <v>1</v>
      </c>
      <c r="L49" s="13" t="n">
        <v>1</v>
      </c>
      <c r="M49" s="13" t="str">
        <f aca="false">I49&amp;"室"&amp;J49&amp;"厅"&amp;L49&amp;"卫"</f>
        <v>2室2厅1卫</v>
      </c>
      <c r="N49" s="15" t="n">
        <v>75.69</v>
      </c>
      <c r="O49" s="13" t="str">
        <f aca="false">IF(N49&lt;60,"60㎡以下",IF(N49&lt;90,"75-77㎡",IF(N49&lt;100,"94-97㎡",IF(N49&lt;120,"106-117㎡",IF(N49&lt;150,"124㎡","150㎡以上")))))</f>
        <v>75-77㎡</v>
      </c>
      <c r="P49" s="13" t="s">
        <v>50</v>
      </c>
      <c r="Q49" s="13" t="n">
        <v>33</v>
      </c>
      <c r="R49" s="13" t="s">
        <v>48</v>
      </c>
      <c r="S49" s="13" t="str">
        <f aca="false">IF(AND(ISNUMBER(SEARCH("南",R49)),ISNUMBER(SEARCH("北",R49))),"是","否")</f>
        <v>否</v>
      </c>
      <c r="T49" s="13" t="s">
        <v>45</v>
      </c>
      <c r="U49" s="16" t="n">
        <v>73</v>
      </c>
      <c r="V49" s="17" t="n">
        <v>9645</v>
      </c>
      <c r="W49" s="17" t="n">
        <f aca="false">ROUND(U49*10000/N49,0)</f>
        <v>9645</v>
      </c>
      <c r="X49" s="18" t="n">
        <f aca="false">W49-V49</f>
        <v>0</v>
      </c>
      <c r="Y49" s="13" t="str">
        <f aca="false">IF(AND(I49=3,N49&gt;=本案估值!$C$7,N49&lt;=本案估值!$C$8,D49&gt;=本案估值!$C$9),"是","否")</f>
        <v>否</v>
      </c>
    </row>
    <row r="50" customFormat="false" ht="15" hidden="false" customHeight="false" outlineLevel="0" collapsed="false">
      <c r="A50" s="6" t="n">
        <v>49</v>
      </c>
      <c r="B50" s="6" t="n">
        <v>13</v>
      </c>
      <c r="C50" s="6" t="s">
        <v>46</v>
      </c>
      <c r="D50" s="7" t="n">
        <v>45970</v>
      </c>
      <c r="E50" s="6" t="n">
        <f aca="false">YEAR(D50)</f>
        <v>2025</v>
      </c>
      <c r="F50" s="6" t="str">
        <f aca="false">YEAR(D50)&amp;"Q"&amp;ROUNDUP(MONTH(D50)/3,0)</f>
        <v>2025Q4</v>
      </c>
      <c r="G50" s="6" t="str">
        <f aca="false">YEAR(D50)&amp;"H"&amp;IF(MONTH(D50)&lt;=6,1,2)</f>
        <v>2025H2</v>
      </c>
      <c r="H50" s="5" t="s">
        <v>65</v>
      </c>
      <c r="I50" s="6" t="n">
        <v>3</v>
      </c>
      <c r="J50" s="6" t="n">
        <v>1</v>
      </c>
      <c r="K50" s="6" t="n">
        <v>1</v>
      </c>
      <c r="L50" s="6" t="n">
        <v>1</v>
      </c>
      <c r="M50" s="6" t="str">
        <f aca="false">I50&amp;"室"&amp;J50&amp;"厅"&amp;L50&amp;"卫"</f>
        <v>3室1厅1卫</v>
      </c>
      <c r="N50" s="8" t="n">
        <v>96.39</v>
      </c>
      <c r="O50" s="6" t="str">
        <f aca="false">IF(N50&lt;60,"60㎡以下",IF(N50&lt;90,"75-77㎡",IF(N50&lt;100,"94-97㎡",IF(N50&lt;120,"106-117㎡",IF(N50&lt;150,"124㎡","150㎡以上")))))</f>
        <v>94-97㎡</v>
      </c>
      <c r="P50" s="6" t="s">
        <v>49</v>
      </c>
      <c r="Q50" s="6" t="n">
        <v>33</v>
      </c>
      <c r="R50" s="6" t="s">
        <v>48</v>
      </c>
      <c r="S50" s="6" t="str">
        <f aca="false">IF(AND(ISNUMBER(SEARCH("南",R50)),ISNUMBER(SEARCH("北",R50))),"是","否")</f>
        <v>否</v>
      </c>
      <c r="T50" s="6" t="s">
        <v>45</v>
      </c>
      <c r="U50" s="9" t="n">
        <v>112</v>
      </c>
      <c r="V50" s="10" t="n">
        <v>11619</v>
      </c>
      <c r="W50" s="10" t="n">
        <f aca="false">ROUND(U50*10000/N50,0)</f>
        <v>11619</v>
      </c>
      <c r="X50" s="11" t="n">
        <f aca="false">W50-V50</f>
        <v>0</v>
      </c>
      <c r="Y50" s="6" t="str">
        <f aca="false">IF(AND(I50=3,N50&gt;=本案估值!$C$7,N50&lt;=本案估值!$C$8,D50&gt;=本案估值!$C$9),"是","否")</f>
        <v>否</v>
      </c>
    </row>
    <row r="51" customFormat="false" ht="15" hidden="false" customHeight="false" outlineLevel="0" collapsed="false">
      <c r="A51" s="13" t="n">
        <v>50</v>
      </c>
      <c r="B51" s="13" t="n">
        <v>13</v>
      </c>
      <c r="C51" s="13" t="s">
        <v>46</v>
      </c>
      <c r="D51" s="14" t="n">
        <v>45966</v>
      </c>
      <c r="E51" s="13" t="n">
        <f aca="false">YEAR(D51)</f>
        <v>2025</v>
      </c>
      <c r="F51" s="13" t="str">
        <f aca="false">YEAR(D51)&amp;"Q"&amp;ROUNDUP(MONTH(D51)/3,0)</f>
        <v>2025Q4</v>
      </c>
      <c r="G51" s="13" t="str">
        <f aca="false">YEAR(D51)&amp;"H"&amp;IF(MONTH(D51)&lt;=6,1,2)</f>
        <v>2025H2</v>
      </c>
      <c r="H51" s="12" t="s">
        <v>53</v>
      </c>
      <c r="I51" s="13" t="n">
        <v>3</v>
      </c>
      <c r="J51" s="13" t="n">
        <v>2</v>
      </c>
      <c r="K51" s="13" t="n">
        <v>1</v>
      </c>
      <c r="L51" s="13" t="n">
        <v>1</v>
      </c>
      <c r="M51" s="13" t="str">
        <f aca="false">I51&amp;"室"&amp;J51&amp;"厅"&amp;L51&amp;"卫"</f>
        <v>3室2厅1卫</v>
      </c>
      <c r="N51" s="15" t="n">
        <v>96.39</v>
      </c>
      <c r="O51" s="13" t="str">
        <f aca="false">IF(N51&lt;60,"60㎡以下",IF(N51&lt;90,"75-77㎡",IF(N51&lt;100,"94-97㎡",IF(N51&lt;120,"106-117㎡",IF(N51&lt;150,"124㎡","150㎡以上")))))</f>
        <v>94-97㎡</v>
      </c>
      <c r="P51" s="13" t="s">
        <v>43</v>
      </c>
      <c r="Q51" s="13" t="n">
        <v>33</v>
      </c>
      <c r="R51" s="13" t="s">
        <v>48</v>
      </c>
      <c r="S51" s="13" t="str">
        <f aca="false">IF(AND(ISNUMBER(SEARCH("南",R51)),ISNUMBER(SEARCH("北",R51))),"是","否")</f>
        <v>否</v>
      </c>
      <c r="T51" s="13" t="s">
        <v>56</v>
      </c>
      <c r="U51" s="16" t="n">
        <v>101</v>
      </c>
      <c r="V51" s="17" t="n">
        <v>10478</v>
      </c>
      <c r="W51" s="17" t="n">
        <f aca="false">ROUND(U51*10000/N51,0)</f>
        <v>10478</v>
      </c>
      <c r="X51" s="18" t="n">
        <f aca="false">W51-V51</f>
        <v>0</v>
      </c>
      <c r="Y51" s="13" t="str">
        <f aca="false">IF(AND(I51=3,N51&gt;=本案估值!$C$7,N51&lt;=本案估值!$C$8,D51&gt;=本案估值!$C$9),"是","否")</f>
        <v>否</v>
      </c>
    </row>
    <row r="52" customFormat="false" ht="15" hidden="false" customHeight="false" outlineLevel="0" collapsed="false">
      <c r="A52" s="6" t="n">
        <v>51</v>
      </c>
      <c r="B52" s="6" t="n">
        <v>13</v>
      </c>
      <c r="C52" s="6" t="s">
        <v>46</v>
      </c>
      <c r="D52" s="7" t="n">
        <v>45965</v>
      </c>
      <c r="E52" s="6" t="n">
        <f aca="false">YEAR(D52)</f>
        <v>2025</v>
      </c>
      <c r="F52" s="6" t="str">
        <f aca="false">YEAR(D52)&amp;"Q"&amp;ROUNDUP(MONTH(D52)/3,0)</f>
        <v>2025Q4</v>
      </c>
      <c r="G52" s="6" t="str">
        <f aca="false">YEAR(D52)&amp;"H"&amp;IF(MONTH(D52)&lt;=6,1,2)</f>
        <v>2025H2</v>
      </c>
      <c r="H52" s="5" t="s">
        <v>42</v>
      </c>
      <c r="I52" s="6" t="n">
        <v>3</v>
      </c>
      <c r="J52" s="6" t="n">
        <v>2</v>
      </c>
      <c r="K52" s="6" t="n">
        <v>1</v>
      </c>
      <c r="L52" s="6" t="n">
        <v>2</v>
      </c>
      <c r="M52" s="6" t="str">
        <f aca="false">I52&amp;"室"&amp;J52&amp;"厅"&amp;L52&amp;"卫"</f>
        <v>3室2厅2卫</v>
      </c>
      <c r="N52" s="8" t="n">
        <v>116.04</v>
      </c>
      <c r="O52" s="6" t="str">
        <f aca="false">IF(N52&lt;60,"60㎡以下",IF(N52&lt;90,"75-77㎡",IF(N52&lt;100,"94-97㎡",IF(N52&lt;120,"106-117㎡",IF(N52&lt;150,"124㎡","150㎡以上")))))</f>
        <v>106-117㎡</v>
      </c>
      <c r="P52" s="6" t="s">
        <v>49</v>
      </c>
      <c r="Q52" s="6" t="n">
        <v>33</v>
      </c>
      <c r="R52" s="6" t="s">
        <v>48</v>
      </c>
      <c r="S52" s="6" t="str">
        <f aca="false">IF(AND(ISNUMBER(SEARCH("南",R52)),ISNUMBER(SEARCH("北",R52))),"是","否")</f>
        <v>否</v>
      </c>
      <c r="T52" s="6" t="s">
        <v>61</v>
      </c>
      <c r="U52" s="9" t="n">
        <v>143</v>
      </c>
      <c r="V52" s="10" t="n">
        <v>12323</v>
      </c>
      <c r="W52" s="10" t="n">
        <f aca="false">ROUND(U52*10000/N52,0)</f>
        <v>12323</v>
      </c>
      <c r="X52" s="11" t="n">
        <f aca="false">W52-V52</f>
        <v>0</v>
      </c>
      <c r="Y52" s="6" t="str">
        <f aca="false">IF(AND(I52=3,N52&gt;=本案估值!$C$7,N52&lt;=本案估值!$C$8,D52&gt;=本案估值!$C$9),"是","否")</f>
        <v>否</v>
      </c>
    </row>
    <row r="53" customFormat="false" ht="15" hidden="false" customHeight="false" outlineLevel="0" collapsed="false">
      <c r="A53" s="13" t="n">
        <v>52</v>
      </c>
      <c r="B53" s="13" t="n">
        <v>13</v>
      </c>
      <c r="C53" s="13" t="s">
        <v>46</v>
      </c>
      <c r="D53" s="14" t="n">
        <v>45962</v>
      </c>
      <c r="E53" s="13" t="n">
        <f aca="false">YEAR(D53)</f>
        <v>2025</v>
      </c>
      <c r="F53" s="13" t="str">
        <f aca="false">YEAR(D53)&amp;"Q"&amp;ROUNDUP(MONTH(D53)/3,0)</f>
        <v>2025Q4</v>
      </c>
      <c r="G53" s="13" t="str">
        <f aca="false">YEAR(D53)&amp;"H"&amp;IF(MONTH(D53)&lt;=6,1,2)</f>
        <v>2025H2</v>
      </c>
      <c r="H53" s="12" t="s">
        <v>57</v>
      </c>
      <c r="I53" s="13" t="n">
        <v>2</v>
      </c>
      <c r="J53" s="13" t="n">
        <v>2</v>
      </c>
      <c r="K53" s="13" t="n">
        <v>1</v>
      </c>
      <c r="L53" s="13" t="n">
        <v>1</v>
      </c>
      <c r="M53" s="13" t="str">
        <f aca="false">I53&amp;"室"&amp;J53&amp;"厅"&amp;L53&amp;"卫"</f>
        <v>2室2厅1卫</v>
      </c>
      <c r="N53" s="15" t="n">
        <v>75.4</v>
      </c>
      <c r="O53" s="13" t="str">
        <f aca="false">IF(N53&lt;60,"60㎡以下",IF(N53&lt;90,"75-77㎡",IF(N53&lt;100,"94-97㎡",IF(N53&lt;120,"106-117㎡",IF(N53&lt;150,"124㎡","150㎡以上")))))</f>
        <v>75-77㎡</v>
      </c>
      <c r="P53" s="13" t="s">
        <v>43</v>
      </c>
      <c r="Q53" s="13" t="n">
        <v>33</v>
      </c>
      <c r="R53" s="13" t="s">
        <v>48</v>
      </c>
      <c r="S53" s="13" t="str">
        <f aca="false">IF(AND(ISNUMBER(SEARCH("南",R53)),ISNUMBER(SEARCH("北",R53))),"是","否")</f>
        <v>否</v>
      </c>
      <c r="T53" s="13" t="s">
        <v>45</v>
      </c>
      <c r="U53" s="16" t="n">
        <v>78.3</v>
      </c>
      <c r="V53" s="17" t="n">
        <v>10378</v>
      </c>
      <c r="W53" s="17" t="n">
        <f aca="false">ROUND(U53*10000/N53,0)</f>
        <v>10385</v>
      </c>
      <c r="X53" s="18" t="n">
        <f aca="false">W53-V53</f>
        <v>7</v>
      </c>
      <c r="Y53" s="13" t="str">
        <f aca="false">IF(AND(I53=3,N53&gt;=本案估值!$C$7,N53&lt;=本案估值!$C$8,D53&gt;=本案估值!$C$9),"是","否")</f>
        <v>否</v>
      </c>
    </row>
    <row r="54" customFormat="false" ht="15" hidden="false" customHeight="false" outlineLevel="0" collapsed="false">
      <c r="A54" s="6" t="n">
        <v>53</v>
      </c>
      <c r="B54" s="6" t="n">
        <v>14</v>
      </c>
      <c r="C54" s="6" t="s">
        <v>46</v>
      </c>
      <c r="D54" s="7" t="n">
        <v>45961</v>
      </c>
      <c r="E54" s="6" t="n">
        <f aca="false">YEAR(D54)</f>
        <v>2025</v>
      </c>
      <c r="F54" s="6" t="str">
        <f aca="false">YEAR(D54)&amp;"Q"&amp;ROUNDUP(MONTH(D54)/3,0)</f>
        <v>2025Q4</v>
      </c>
      <c r="G54" s="6" t="str">
        <f aca="false">YEAR(D54)&amp;"H"&amp;IF(MONTH(D54)&lt;=6,1,2)</f>
        <v>2025H2</v>
      </c>
      <c r="H54" s="5" t="s">
        <v>42</v>
      </c>
      <c r="I54" s="6" t="n">
        <v>3</v>
      </c>
      <c r="J54" s="6" t="n">
        <v>2</v>
      </c>
      <c r="K54" s="6" t="n">
        <v>1</v>
      </c>
      <c r="L54" s="6" t="n">
        <v>2</v>
      </c>
      <c r="M54" s="6" t="str">
        <f aca="false">I54&amp;"室"&amp;J54&amp;"厅"&amp;L54&amp;"卫"</f>
        <v>3室2厅2卫</v>
      </c>
      <c r="N54" s="8" t="n">
        <v>109.99</v>
      </c>
      <c r="O54" s="6" t="str">
        <f aca="false">IF(N54&lt;60,"60㎡以下",IF(N54&lt;90,"75-77㎡",IF(N54&lt;100,"94-97㎡",IF(N54&lt;120,"106-117㎡",IF(N54&lt;150,"124㎡","150㎡以上")))))</f>
        <v>106-117㎡</v>
      </c>
      <c r="P54" s="6" t="s">
        <v>50</v>
      </c>
      <c r="Q54" s="6" t="n">
        <v>33</v>
      </c>
      <c r="R54" s="6" t="s">
        <v>58</v>
      </c>
      <c r="S54" s="6" t="str">
        <f aca="false">IF(AND(ISNUMBER(SEARCH("南",R54)),ISNUMBER(SEARCH("北",R54))),"是","否")</f>
        <v>是</v>
      </c>
      <c r="T54" s="6" t="s">
        <v>45</v>
      </c>
      <c r="U54" s="9" t="n">
        <v>133</v>
      </c>
      <c r="V54" s="10" t="n">
        <v>12092</v>
      </c>
      <c r="W54" s="10" t="n">
        <f aca="false">ROUND(U54*10000/N54,0)</f>
        <v>12092</v>
      </c>
      <c r="X54" s="11" t="n">
        <f aca="false">W54-V54</f>
        <v>0</v>
      </c>
      <c r="Y54" s="6" t="str">
        <f aca="false">IF(AND(I54=3,N54&gt;=本案估值!$C$7,N54&lt;=本案估值!$C$8,D54&gt;=本案估值!$C$9),"是","否")</f>
        <v>否</v>
      </c>
    </row>
    <row r="55" customFormat="false" ht="15" hidden="false" customHeight="false" outlineLevel="0" collapsed="false">
      <c r="A55" s="13" t="n">
        <v>54</v>
      </c>
      <c r="B55" s="13" t="n">
        <v>14</v>
      </c>
      <c r="C55" s="13" t="s">
        <v>46</v>
      </c>
      <c r="D55" s="14" t="n">
        <v>45959</v>
      </c>
      <c r="E55" s="13" t="n">
        <f aca="false">YEAR(D55)</f>
        <v>2025</v>
      </c>
      <c r="F55" s="13" t="str">
        <f aca="false">YEAR(D55)&amp;"Q"&amp;ROUNDUP(MONTH(D55)/3,0)</f>
        <v>2025Q4</v>
      </c>
      <c r="G55" s="13" t="str">
        <f aca="false">YEAR(D55)&amp;"H"&amp;IF(MONTH(D55)&lt;=6,1,2)</f>
        <v>2025H2</v>
      </c>
      <c r="H55" s="12" t="s">
        <v>42</v>
      </c>
      <c r="I55" s="13" t="n">
        <v>3</v>
      </c>
      <c r="J55" s="13" t="n">
        <v>2</v>
      </c>
      <c r="K55" s="13" t="n">
        <v>1</v>
      </c>
      <c r="L55" s="13" t="n">
        <v>2</v>
      </c>
      <c r="M55" s="13" t="str">
        <f aca="false">I55&amp;"室"&amp;J55&amp;"厅"&amp;L55&amp;"卫"</f>
        <v>3室2厅2卫</v>
      </c>
      <c r="N55" s="15" t="n">
        <v>116.07</v>
      </c>
      <c r="O55" s="13" t="str">
        <f aca="false">IF(N55&lt;60,"60㎡以下",IF(N55&lt;90,"75-77㎡",IF(N55&lt;100,"94-97㎡",IF(N55&lt;120,"106-117㎡",IF(N55&lt;150,"124㎡","150㎡以上")))))</f>
        <v>106-117㎡</v>
      </c>
      <c r="P55" s="13" t="s">
        <v>43</v>
      </c>
      <c r="Q55" s="13" t="n">
        <v>33</v>
      </c>
      <c r="R55" s="13" t="s">
        <v>48</v>
      </c>
      <c r="S55" s="13" t="str">
        <f aca="false">IF(AND(ISNUMBER(SEARCH("南",R55)),ISNUMBER(SEARCH("北",R55))),"是","否")</f>
        <v>否</v>
      </c>
      <c r="T55" s="13" t="s">
        <v>45</v>
      </c>
      <c r="U55" s="16" t="n">
        <v>146.5</v>
      </c>
      <c r="V55" s="17" t="n">
        <v>12622</v>
      </c>
      <c r="W55" s="17" t="n">
        <f aca="false">ROUND(U55*10000/N55,0)</f>
        <v>12622</v>
      </c>
      <c r="X55" s="18" t="n">
        <f aca="false">W55-V55</f>
        <v>0</v>
      </c>
      <c r="Y55" s="13" t="str">
        <f aca="false">IF(AND(I55=3,N55&gt;=本案估值!$C$7,N55&lt;=本案估值!$C$8,D55&gt;=本案估值!$C$9),"是","否")</f>
        <v>否</v>
      </c>
    </row>
    <row r="56" customFormat="false" ht="15" hidden="false" customHeight="false" outlineLevel="0" collapsed="false">
      <c r="A56" s="6" t="n">
        <v>55</v>
      </c>
      <c r="B56" s="6" t="n">
        <v>14</v>
      </c>
      <c r="C56" s="6" t="s">
        <v>46</v>
      </c>
      <c r="D56" s="7" t="n">
        <v>45957</v>
      </c>
      <c r="E56" s="6" t="n">
        <f aca="false">YEAR(D56)</f>
        <v>2025</v>
      </c>
      <c r="F56" s="6" t="str">
        <f aca="false">YEAR(D56)&amp;"Q"&amp;ROUNDUP(MONTH(D56)/3,0)</f>
        <v>2025Q4</v>
      </c>
      <c r="G56" s="6" t="str">
        <f aca="false">YEAR(D56)&amp;"H"&amp;IF(MONTH(D56)&lt;=6,1,2)</f>
        <v>2025H2</v>
      </c>
      <c r="H56" s="5" t="s">
        <v>42</v>
      </c>
      <c r="I56" s="6" t="n">
        <v>3</v>
      </c>
      <c r="J56" s="6" t="n">
        <v>2</v>
      </c>
      <c r="K56" s="6" t="n">
        <v>1</v>
      </c>
      <c r="L56" s="6" t="n">
        <v>2</v>
      </c>
      <c r="M56" s="6" t="str">
        <f aca="false">I56&amp;"室"&amp;J56&amp;"厅"&amp;L56&amp;"卫"</f>
        <v>3室2厅2卫</v>
      </c>
      <c r="N56" s="8" t="n">
        <v>109.99</v>
      </c>
      <c r="O56" s="6" t="str">
        <f aca="false">IF(N56&lt;60,"60㎡以下",IF(N56&lt;90,"75-77㎡",IF(N56&lt;100,"94-97㎡",IF(N56&lt;120,"106-117㎡",IF(N56&lt;150,"124㎡","150㎡以上")))))</f>
        <v>106-117㎡</v>
      </c>
      <c r="P56" s="6" t="s">
        <v>50</v>
      </c>
      <c r="Q56" s="6" t="n">
        <v>33</v>
      </c>
      <c r="R56" s="6" t="s">
        <v>48</v>
      </c>
      <c r="S56" s="6" t="str">
        <f aca="false">IF(AND(ISNUMBER(SEARCH("南",R56)),ISNUMBER(SEARCH("北",R56))),"是","否")</f>
        <v>否</v>
      </c>
      <c r="T56" s="6" t="s">
        <v>45</v>
      </c>
      <c r="U56" s="9" t="n">
        <v>155</v>
      </c>
      <c r="V56" s="10" t="n">
        <v>14092</v>
      </c>
      <c r="W56" s="10" t="n">
        <f aca="false">ROUND(U56*10000/N56,0)</f>
        <v>14092</v>
      </c>
      <c r="X56" s="11" t="n">
        <f aca="false">W56-V56</f>
        <v>0</v>
      </c>
      <c r="Y56" s="6" t="str">
        <f aca="false">IF(AND(I56=3,N56&gt;=本案估值!$C$7,N56&lt;=本案估值!$C$8,D56&gt;=本案估值!$C$9),"是","否")</f>
        <v>否</v>
      </c>
    </row>
    <row r="57" customFormat="false" ht="15" hidden="false" customHeight="false" outlineLevel="0" collapsed="false">
      <c r="A57" s="13" t="n">
        <v>56</v>
      </c>
      <c r="B57" s="13" t="n">
        <v>14</v>
      </c>
      <c r="C57" s="13" t="s">
        <v>46</v>
      </c>
      <c r="D57" s="14" t="n">
        <v>45955</v>
      </c>
      <c r="E57" s="13" t="n">
        <f aca="false">YEAR(D57)</f>
        <v>2025</v>
      </c>
      <c r="F57" s="13" t="str">
        <f aca="false">YEAR(D57)&amp;"Q"&amp;ROUNDUP(MONTH(D57)/3,0)</f>
        <v>2025Q4</v>
      </c>
      <c r="G57" s="13" t="str">
        <f aca="false">YEAR(D57)&amp;"H"&amp;IF(MONTH(D57)&lt;=6,1,2)</f>
        <v>2025H2</v>
      </c>
      <c r="H57" s="12" t="s">
        <v>53</v>
      </c>
      <c r="I57" s="13" t="n">
        <v>3</v>
      </c>
      <c r="J57" s="13" t="n">
        <v>2</v>
      </c>
      <c r="K57" s="13" t="n">
        <v>1</v>
      </c>
      <c r="L57" s="13" t="n">
        <v>1</v>
      </c>
      <c r="M57" s="13" t="str">
        <f aca="false">I57&amp;"室"&amp;J57&amp;"厅"&amp;L57&amp;"卫"</f>
        <v>3室2厅1卫</v>
      </c>
      <c r="N57" s="15" t="n">
        <v>94.86</v>
      </c>
      <c r="O57" s="13" t="str">
        <f aca="false">IF(N57&lt;60,"60㎡以下",IF(N57&lt;90,"75-77㎡",IF(N57&lt;100,"94-97㎡",IF(N57&lt;120,"106-117㎡",IF(N57&lt;150,"124㎡","150㎡以上")))))</f>
        <v>94-97㎡</v>
      </c>
      <c r="P57" s="13" t="s">
        <v>50</v>
      </c>
      <c r="Q57" s="13" t="n">
        <v>33</v>
      </c>
      <c r="R57" s="13" t="s">
        <v>48</v>
      </c>
      <c r="S57" s="13" t="str">
        <f aca="false">IF(AND(ISNUMBER(SEARCH("南",R57)),ISNUMBER(SEARCH("北",R57))),"是","否")</f>
        <v>否</v>
      </c>
      <c r="T57" s="13" t="s">
        <v>61</v>
      </c>
      <c r="U57" s="16" t="n">
        <v>100.3</v>
      </c>
      <c r="V57" s="17" t="n">
        <v>10573</v>
      </c>
      <c r="W57" s="17" t="n">
        <f aca="false">ROUND(U57*10000/N57,0)</f>
        <v>10573</v>
      </c>
      <c r="X57" s="18" t="n">
        <f aca="false">W57-V57</f>
        <v>0</v>
      </c>
      <c r="Y57" s="13" t="str">
        <f aca="false">IF(AND(I57=3,N57&gt;=本案估值!$C$7,N57&lt;=本案估值!$C$8,D57&gt;=本案估值!$C$9),"是","否")</f>
        <v>否</v>
      </c>
    </row>
    <row r="58" customFormat="false" ht="15" hidden="false" customHeight="false" outlineLevel="0" collapsed="false">
      <c r="A58" s="6" t="n">
        <v>57</v>
      </c>
      <c r="B58" s="6" t="n">
        <v>15</v>
      </c>
      <c r="C58" s="6" t="s">
        <v>46</v>
      </c>
      <c r="D58" s="7" t="n">
        <v>45949</v>
      </c>
      <c r="E58" s="6" t="n">
        <f aca="false">YEAR(D58)</f>
        <v>2025</v>
      </c>
      <c r="F58" s="6" t="str">
        <f aca="false">YEAR(D58)&amp;"Q"&amp;ROUNDUP(MONTH(D58)/3,0)</f>
        <v>2025Q4</v>
      </c>
      <c r="G58" s="6" t="str">
        <f aca="false">YEAR(D58)&amp;"H"&amp;IF(MONTH(D58)&lt;=6,1,2)</f>
        <v>2025H2</v>
      </c>
      <c r="H58" s="5" t="s">
        <v>42</v>
      </c>
      <c r="I58" s="6" t="n">
        <v>3</v>
      </c>
      <c r="J58" s="6" t="n">
        <v>2</v>
      </c>
      <c r="K58" s="6" t="n">
        <v>1</v>
      </c>
      <c r="L58" s="6" t="n">
        <v>2</v>
      </c>
      <c r="M58" s="6" t="str">
        <f aca="false">I58&amp;"室"&amp;J58&amp;"厅"&amp;L58&amp;"卫"</f>
        <v>3室2厅2卫</v>
      </c>
      <c r="N58" s="8" t="n">
        <v>115.97</v>
      </c>
      <c r="O58" s="6" t="str">
        <f aca="false">IF(N58&lt;60,"60㎡以下",IF(N58&lt;90,"75-77㎡",IF(N58&lt;100,"94-97㎡",IF(N58&lt;120,"106-117㎡",IF(N58&lt;150,"124㎡","150㎡以上")))))</f>
        <v>106-117㎡</v>
      </c>
      <c r="P58" s="6" t="s">
        <v>43</v>
      </c>
      <c r="Q58" s="6" t="n">
        <v>33</v>
      </c>
      <c r="R58" s="6" t="s">
        <v>48</v>
      </c>
      <c r="S58" s="6" t="str">
        <f aca="false">IF(AND(ISNUMBER(SEARCH("南",R58)),ISNUMBER(SEARCH("北",R58))),"是","否")</f>
        <v>否</v>
      </c>
      <c r="T58" s="6" t="s">
        <v>45</v>
      </c>
      <c r="U58" s="9" t="n">
        <v>141.8</v>
      </c>
      <c r="V58" s="10" t="n">
        <v>12227</v>
      </c>
      <c r="W58" s="10" t="n">
        <f aca="false">ROUND(U58*10000/N58,0)</f>
        <v>12227</v>
      </c>
      <c r="X58" s="11" t="n">
        <f aca="false">W58-V58</f>
        <v>0</v>
      </c>
      <c r="Y58" s="6" t="str">
        <f aca="false">IF(AND(I58=3,N58&gt;=本案估值!$C$7,N58&lt;=本案估值!$C$8,D58&gt;=本案估值!$C$9),"是","否")</f>
        <v>否</v>
      </c>
    </row>
    <row r="59" customFormat="false" ht="15" hidden="false" customHeight="false" outlineLevel="0" collapsed="false">
      <c r="A59" s="13" t="n">
        <v>58</v>
      </c>
      <c r="B59" s="13" t="n">
        <v>15</v>
      </c>
      <c r="C59" s="13" t="s">
        <v>46</v>
      </c>
      <c r="D59" s="14" t="n">
        <v>45943</v>
      </c>
      <c r="E59" s="13" t="n">
        <f aca="false">YEAR(D59)</f>
        <v>2025</v>
      </c>
      <c r="F59" s="13" t="str">
        <f aca="false">YEAR(D59)&amp;"Q"&amp;ROUNDUP(MONTH(D59)/3,0)</f>
        <v>2025Q4</v>
      </c>
      <c r="G59" s="13" t="str">
        <f aca="false">YEAR(D59)&amp;"H"&amp;IF(MONTH(D59)&lt;=6,1,2)</f>
        <v>2025H2</v>
      </c>
      <c r="H59" s="12" t="s">
        <v>53</v>
      </c>
      <c r="I59" s="13" t="n">
        <v>3</v>
      </c>
      <c r="J59" s="13" t="n">
        <v>2</v>
      </c>
      <c r="K59" s="13" t="n">
        <v>1</v>
      </c>
      <c r="L59" s="13" t="n">
        <v>1</v>
      </c>
      <c r="M59" s="13" t="str">
        <f aca="false">I59&amp;"室"&amp;J59&amp;"厅"&amp;L59&amp;"卫"</f>
        <v>3室2厅1卫</v>
      </c>
      <c r="N59" s="15" t="n">
        <v>96.86</v>
      </c>
      <c r="O59" s="13" t="str">
        <f aca="false">IF(N59&lt;60,"60㎡以下",IF(N59&lt;90,"75-77㎡",IF(N59&lt;100,"94-97㎡",IF(N59&lt;120,"106-117㎡",IF(N59&lt;150,"124㎡","150㎡以上")))))</f>
        <v>94-97㎡</v>
      </c>
      <c r="P59" s="13" t="s">
        <v>50</v>
      </c>
      <c r="Q59" s="13" t="n">
        <v>33</v>
      </c>
      <c r="R59" s="13" t="s">
        <v>48</v>
      </c>
      <c r="S59" s="13" t="str">
        <f aca="false">IF(AND(ISNUMBER(SEARCH("南",R59)),ISNUMBER(SEARCH("北",R59))),"是","否")</f>
        <v>否</v>
      </c>
      <c r="T59" s="13" t="s">
        <v>45</v>
      </c>
      <c r="U59" s="16" t="n">
        <v>104.8</v>
      </c>
      <c r="V59" s="17" t="n">
        <v>10820</v>
      </c>
      <c r="W59" s="17" t="n">
        <f aca="false">ROUND(U59*10000/N59,0)</f>
        <v>10820</v>
      </c>
      <c r="X59" s="18" t="n">
        <f aca="false">W59-V59</f>
        <v>0</v>
      </c>
      <c r="Y59" s="13" t="str">
        <f aca="false">IF(AND(I59=3,N59&gt;=本案估值!$C$7,N59&lt;=本案估值!$C$8,D59&gt;=本案估值!$C$9),"是","否")</f>
        <v>否</v>
      </c>
    </row>
    <row r="60" customFormat="false" ht="15" hidden="false" customHeight="false" outlineLevel="0" collapsed="false">
      <c r="A60" s="6" t="n">
        <v>59</v>
      </c>
      <c r="B60" s="6" t="n">
        <v>15</v>
      </c>
      <c r="C60" s="6" t="s">
        <v>46</v>
      </c>
      <c r="D60" s="7" t="n">
        <v>45931</v>
      </c>
      <c r="E60" s="6" t="n">
        <f aca="false">YEAR(D60)</f>
        <v>2025</v>
      </c>
      <c r="F60" s="6" t="str">
        <f aca="false">YEAR(D60)&amp;"Q"&amp;ROUNDUP(MONTH(D60)/3,0)</f>
        <v>2025Q4</v>
      </c>
      <c r="G60" s="6" t="str">
        <f aca="false">YEAR(D60)&amp;"H"&amp;IF(MONTH(D60)&lt;=6,1,2)</f>
        <v>2025H2</v>
      </c>
      <c r="H60" s="5" t="s">
        <v>42</v>
      </c>
      <c r="I60" s="6" t="n">
        <v>3</v>
      </c>
      <c r="J60" s="6" t="n">
        <v>2</v>
      </c>
      <c r="K60" s="6" t="n">
        <v>1</v>
      </c>
      <c r="L60" s="6" t="n">
        <v>2</v>
      </c>
      <c r="M60" s="6" t="str">
        <f aca="false">I60&amp;"室"&amp;J60&amp;"厅"&amp;L60&amp;"卫"</f>
        <v>3室2厅2卫</v>
      </c>
      <c r="N60" s="8" t="n">
        <v>116.04</v>
      </c>
      <c r="O60" s="6" t="str">
        <f aca="false">IF(N60&lt;60,"60㎡以下",IF(N60&lt;90,"75-77㎡",IF(N60&lt;100,"94-97㎡",IF(N60&lt;120,"106-117㎡",IF(N60&lt;150,"124㎡","150㎡以上")))))</f>
        <v>106-117㎡</v>
      </c>
      <c r="P60" s="6" t="s">
        <v>43</v>
      </c>
      <c r="Q60" s="6" t="n">
        <v>33</v>
      </c>
      <c r="R60" s="6" t="s">
        <v>48</v>
      </c>
      <c r="S60" s="6" t="str">
        <f aca="false">IF(AND(ISNUMBER(SEARCH("南",R60)),ISNUMBER(SEARCH("北",R60))),"是","否")</f>
        <v>否</v>
      </c>
      <c r="T60" s="6" t="s">
        <v>45</v>
      </c>
      <c r="U60" s="9" t="n">
        <v>153.5</v>
      </c>
      <c r="V60" s="10" t="n">
        <v>13228</v>
      </c>
      <c r="W60" s="10" t="n">
        <f aca="false">ROUND(U60*10000/N60,0)</f>
        <v>13228</v>
      </c>
      <c r="X60" s="11" t="n">
        <f aca="false">W60-V60</f>
        <v>0</v>
      </c>
      <c r="Y60" s="6" t="str">
        <f aca="false">IF(AND(I60=3,N60&gt;=本案估值!$C$7,N60&lt;=本案估值!$C$8,D60&gt;=本案估值!$C$9),"是","否")</f>
        <v>否</v>
      </c>
    </row>
    <row r="61" customFormat="false" ht="15" hidden="false" customHeight="false" outlineLevel="0" collapsed="false">
      <c r="A61" s="13" t="n">
        <v>60</v>
      </c>
      <c r="B61" s="13" t="n">
        <v>15</v>
      </c>
      <c r="C61" s="13" t="s">
        <v>46</v>
      </c>
      <c r="D61" s="14" t="n">
        <v>45928</v>
      </c>
      <c r="E61" s="13" t="n">
        <f aca="false">YEAR(D61)</f>
        <v>2025</v>
      </c>
      <c r="F61" s="13" t="str">
        <f aca="false">YEAR(D61)&amp;"Q"&amp;ROUNDUP(MONTH(D61)/3,0)</f>
        <v>2025Q3</v>
      </c>
      <c r="G61" s="13" t="str">
        <f aca="false">YEAR(D61)&amp;"H"&amp;IF(MONTH(D61)&lt;=6,1,2)</f>
        <v>2025H2</v>
      </c>
      <c r="H61" s="12" t="s">
        <v>66</v>
      </c>
      <c r="I61" s="13" t="n">
        <v>1</v>
      </c>
      <c r="J61" s="13" t="n">
        <v>1</v>
      </c>
      <c r="K61" s="13" t="n">
        <v>0</v>
      </c>
      <c r="L61" s="13" t="n">
        <v>1</v>
      </c>
      <c r="M61" s="13" t="str">
        <f aca="false">I61&amp;"室"&amp;J61&amp;"厅"&amp;L61&amp;"卫"</f>
        <v>1室1厅1卫</v>
      </c>
      <c r="N61" s="15" t="n">
        <v>37.3</v>
      </c>
      <c r="O61" s="13" t="str">
        <f aca="false">IF(N61&lt;60,"60㎡以下",IF(N61&lt;90,"75-77㎡",IF(N61&lt;100,"94-97㎡",IF(N61&lt;120,"106-117㎡",IF(N61&lt;150,"124㎡","150㎡以上")))))</f>
        <v>60㎡以下</v>
      </c>
      <c r="P61" s="13" t="s">
        <v>49</v>
      </c>
      <c r="Q61" s="13" t="n">
        <v>22</v>
      </c>
      <c r="R61" s="13" t="s">
        <v>60</v>
      </c>
      <c r="S61" s="13" t="str">
        <f aca="false">IF(AND(ISNUMBER(SEARCH("南",R61)),ISNUMBER(SEARCH("北",R61))),"是","否")</f>
        <v>否</v>
      </c>
      <c r="T61" s="13" t="s">
        <v>56</v>
      </c>
      <c r="U61" s="16" t="n">
        <v>30</v>
      </c>
      <c r="V61" s="17" t="n">
        <v>8043</v>
      </c>
      <c r="W61" s="17" t="n">
        <f aca="false">ROUND(U61*10000/N61,0)</f>
        <v>8043</v>
      </c>
      <c r="X61" s="18" t="n">
        <f aca="false">W61-V61</f>
        <v>0</v>
      </c>
      <c r="Y61" s="13" t="str">
        <f aca="false">IF(AND(I61=3,N61&gt;=本案估值!$C$7,N61&lt;=本案估值!$C$8,D61&gt;=本案估值!$C$9),"是","否")</f>
        <v>否</v>
      </c>
    </row>
    <row r="62" customFormat="false" ht="15" hidden="false" customHeight="false" outlineLevel="0" collapsed="false">
      <c r="A62" s="6" t="n">
        <v>61</v>
      </c>
      <c r="B62" s="6" t="n">
        <v>16</v>
      </c>
      <c r="C62" s="6" t="s">
        <v>46</v>
      </c>
      <c r="D62" s="7" t="n">
        <v>45913</v>
      </c>
      <c r="E62" s="6" t="n">
        <f aca="false">YEAR(D62)</f>
        <v>2025</v>
      </c>
      <c r="F62" s="6" t="str">
        <f aca="false">YEAR(D62)&amp;"Q"&amp;ROUNDUP(MONTH(D62)/3,0)</f>
        <v>2025Q3</v>
      </c>
      <c r="G62" s="6" t="str">
        <f aca="false">YEAR(D62)&amp;"H"&amp;IF(MONTH(D62)&lt;=6,1,2)</f>
        <v>2025H2</v>
      </c>
      <c r="H62" s="5" t="s">
        <v>53</v>
      </c>
      <c r="I62" s="6" t="n">
        <v>3</v>
      </c>
      <c r="J62" s="6" t="n">
        <v>2</v>
      </c>
      <c r="K62" s="6" t="n">
        <v>1</v>
      </c>
      <c r="L62" s="6" t="n">
        <v>1</v>
      </c>
      <c r="M62" s="6" t="str">
        <f aca="false">I62&amp;"室"&amp;J62&amp;"厅"&amp;L62&amp;"卫"</f>
        <v>3室2厅1卫</v>
      </c>
      <c r="N62" s="8" t="n">
        <v>96.39</v>
      </c>
      <c r="O62" s="6" t="str">
        <f aca="false">IF(N62&lt;60,"60㎡以下",IF(N62&lt;90,"75-77㎡",IF(N62&lt;100,"94-97㎡",IF(N62&lt;120,"106-117㎡",IF(N62&lt;150,"124㎡","150㎡以上")))))</f>
        <v>94-97㎡</v>
      </c>
      <c r="P62" s="6" t="s">
        <v>50</v>
      </c>
      <c r="Q62" s="6" t="n">
        <v>33</v>
      </c>
      <c r="R62" s="6" t="s">
        <v>48</v>
      </c>
      <c r="S62" s="6" t="str">
        <f aca="false">IF(AND(ISNUMBER(SEARCH("南",R62)),ISNUMBER(SEARCH("北",R62))),"是","否")</f>
        <v>否</v>
      </c>
      <c r="T62" s="6" t="s">
        <v>45</v>
      </c>
      <c r="U62" s="9" t="n">
        <v>102</v>
      </c>
      <c r="V62" s="10" t="n">
        <v>10582</v>
      </c>
      <c r="W62" s="10" t="n">
        <f aca="false">ROUND(U62*10000/N62,0)</f>
        <v>10582</v>
      </c>
      <c r="X62" s="11" t="n">
        <f aca="false">W62-V62</f>
        <v>0</v>
      </c>
      <c r="Y62" s="6" t="str">
        <f aca="false">IF(AND(I62=3,N62&gt;=本案估值!$C$7,N62&lt;=本案估值!$C$8,D62&gt;=本案估值!$C$9),"是","否")</f>
        <v>否</v>
      </c>
    </row>
    <row r="63" customFormat="false" ht="15" hidden="false" customHeight="false" outlineLevel="0" collapsed="false">
      <c r="A63" s="13" t="n">
        <v>62</v>
      </c>
      <c r="B63" s="13" t="n">
        <v>16</v>
      </c>
      <c r="C63" s="13" t="s">
        <v>46</v>
      </c>
      <c r="D63" s="14" t="n">
        <v>45912</v>
      </c>
      <c r="E63" s="13" t="n">
        <f aca="false">YEAR(D63)</f>
        <v>2025</v>
      </c>
      <c r="F63" s="13" t="str">
        <f aca="false">YEAR(D63)&amp;"Q"&amp;ROUNDUP(MONTH(D63)/3,0)</f>
        <v>2025Q3</v>
      </c>
      <c r="G63" s="13" t="str">
        <f aca="false">YEAR(D63)&amp;"H"&amp;IF(MONTH(D63)&lt;=6,1,2)</f>
        <v>2025H2</v>
      </c>
      <c r="H63" s="12" t="s">
        <v>42</v>
      </c>
      <c r="I63" s="13" t="n">
        <v>3</v>
      </c>
      <c r="J63" s="13" t="n">
        <v>2</v>
      </c>
      <c r="K63" s="13" t="n">
        <v>1</v>
      </c>
      <c r="L63" s="13" t="n">
        <v>2</v>
      </c>
      <c r="M63" s="13" t="str">
        <f aca="false">I63&amp;"室"&amp;J63&amp;"厅"&amp;L63&amp;"卫"</f>
        <v>3室2厅2卫</v>
      </c>
      <c r="N63" s="15" t="n">
        <v>116.4</v>
      </c>
      <c r="O63" s="13" t="str">
        <f aca="false">IF(N63&lt;60,"60㎡以下",IF(N63&lt;90,"75-77㎡",IF(N63&lt;100,"94-97㎡",IF(N63&lt;120,"106-117㎡",IF(N63&lt;150,"124㎡","150㎡以上")))))</f>
        <v>106-117㎡</v>
      </c>
      <c r="P63" s="13" t="s">
        <v>49</v>
      </c>
      <c r="Q63" s="13" t="n">
        <v>33</v>
      </c>
      <c r="R63" s="13" t="s">
        <v>58</v>
      </c>
      <c r="S63" s="13" t="str">
        <f aca="false">IF(AND(ISNUMBER(SEARCH("南",R63)),ISNUMBER(SEARCH("北",R63))),"是","否")</f>
        <v>是</v>
      </c>
      <c r="T63" s="13" t="s">
        <v>45</v>
      </c>
      <c r="U63" s="16" t="n">
        <v>158</v>
      </c>
      <c r="V63" s="17" t="n">
        <v>13574</v>
      </c>
      <c r="W63" s="17" t="n">
        <f aca="false">ROUND(U63*10000/N63,0)</f>
        <v>13574</v>
      </c>
      <c r="X63" s="18" t="n">
        <f aca="false">W63-V63</f>
        <v>0</v>
      </c>
      <c r="Y63" s="13" t="str">
        <f aca="false">IF(AND(I63=3,N63&gt;=本案估值!$C$7,N63&lt;=本案估值!$C$8,D63&gt;=本案估值!$C$9),"是","否")</f>
        <v>否</v>
      </c>
    </row>
    <row r="64" customFormat="false" ht="15" hidden="false" customHeight="false" outlineLevel="0" collapsed="false">
      <c r="A64" s="6" t="n">
        <v>63</v>
      </c>
      <c r="B64" s="6" t="n">
        <v>16</v>
      </c>
      <c r="C64" s="6" t="s">
        <v>46</v>
      </c>
      <c r="D64" s="7" t="n">
        <v>45911</v>
      </c>
      <c r="E64" s="6" t="n">
        <f aca="false">YEAR(D64)</f>
        <v>2025</v>
      </c>
      <c r="F64" s="6" t="str">
        <f aca="false">YEAR(D64)&amp;"Q"&amp;ROUNDUP(MONTH(D64)/3,0)</f>
        <v>2025Q3</v>
      </c>
      <c r="G64" s="6" t="str">
        <f aca="false">YEAR(D64)&amp;"H"&amp;IF(MONTH(D64)&lt;=6,1,2)</f>
        <v>2025H2</v>
      </c>
      <c r="H64" s="5" t="s">
        <v>42</v>
      </c>
      <c r="I64" s="6" t="n">
        <v>3</v>
      </c>
      <c r="J64" s="6" t="n">
        <v>2</v>
      </c>
      <c r="K64" s="6" t="n">
        <v>1</v>
      </c>
      <c r="L64" s="6" t="n">
        <v>2</v>
      </c>
      <c r="M64" s="6" t="str">
        <f aca="false">I64&amp;"室"&amp;J64&amp;"厅"&amp;L64&amp;"卫"</f>
        <v>3室2厅2卫</v>
      </c>
      <c r="N64" s="8" t="n">
        <v>113.37</v>
      </c>
      <c r="O64" s="6" t="str">
        <f aca="false">IF(N64&lt;60,"60㎡以下",IF(N64&lt;90,"75-77㎡",IF(N64&lt;100,"94-97㎡",IF(N64&lt;120,"106-117㎡",IF(N64&lt;150,"124㎡","150㎡以上")))))</f>
        <v>106-117㎡</v>
      </c>
      <c r="P64" s="6" t="s">
        <v>49</v>
      </c>
      <c r="Q64" s="6" t="n">
        <v>33</v>
      </c>
      <c r="R64" s="6" t="s">
        <v>67</v>
      </c>
      <c r="S64" s="6" t="str">
        <f aca="false">IF(AND(ISNUMBER(SEARCH("南",R64)),ISNUMBER(SEARCH("北",R64))),"是","否")</f>
        <v>否</v>
      </c>
      <c r="T64" s="6" t="s">
        <v>45</v>
      </c>
      <c r="U64" s="9" t="n">
        <v>160</v>
      </c>
      <c r="V64" s="10" t="n">
        <v>14113</v>
      </c>
      <c r="W64" s="10" t="n">
        <f aca="false">ROUND(U64*10000/N64,0)</f>
        <v>14113</v>
      </c>
      <c r="X64" s="11" t="n">
        <f aca="false">W64-V64</f>
        <v>0</v>
      </c>
      <c r="Y64" s="6" t="str">
        <f aca="false">IF(AND(I64=3,N64&gt;=本案估值!$C$7,N64&lt;=本案估值!$C$8,D64&gt;=本案估值!$C$9),"是","否")</f>
        <v>否</v>
      </c>
    </row>
    <row r="65" customFormat="false" ht="15" hidden="false" customHeight="false" outlineLevel="0" collapsed="false">
      <c r="A65" s="13" t="n">
        <v>64</v>
      </c>
      <c r="B65" s="13" t="n">
        <v>16</v>
      </c>
      <c r="C65" s="13" t="s">
        <v>46</v>
      </c>
      <c r="D65" s="14" t="n">
        <v>45909</v>
      </c>
      <c r="E65" s="13" t="n">
        <f aca="false">YEAR(D65)</f>
        <v>2025</v>
      </c>
      <c r="F65" s="13" t="str">
        <f aca="false">YEAR(D65)&amp;"Q"&amp;ROUNDUP(MONTH(D65)/3,0)</f>
        <v>2025Q3</v>
      </c>
      <c r="G65" s="13" t="str">
        <f aca="false">YEAR(D65)&amp;"H"&amp;IF(MONTH(D65)&lt;=6,1,2)</f>
        <v>2025H2</v>
      </c>
      <c r="H65" s="12" t="s">
        <v>42</v>
      </c>
      <c r="I65" s="13" t="n">
        <v>3</v>
      </c>
      <c r="J65" s="13" t="n">
        <v>2</v>
      </c>
      <c r="K65" s="13" t="n">
        <v>1</v>
      </c>
      <c r="L65" s="13" t="n">
        <v>2</v>
      </c>
      <c r="M65" s="13" t="str">
        <f aca="false">I65&amp;"室"&amp;J65&amp;"厅"&amp;L65&amp;"卫"</f>
        <v>3室2厅2卫</v>
      </c>
      <c r="N65" s="15" t="n">
        <v>115.97</v>
      </c>
      <c r="O65" s="13" t="str">
        <f aca="false">IF(N65&lt;60,"60㎡以下",IF(N65&lt;90,"75-77㎡",IF(N65&lt;100,"94-97㎡",IF(N65&lt;120,"106-117㎡",IF(N65&lt;150,"124㎡","150㎡以上")))))</f>
        <v>106-117㎡</v>
      </c>
      <c r="P65" s="13" t="s">
        <v>43</v>
      </c>
      <c r="Q65" s="13" t="n">
        <v>33</v>
      </c>
      <c r="R65" s="13" t="s">
        <v>58</v>
      </c>
      <c r="S65" s="13" t="str">
        <f aca="false">IF(AND(ISNUMBER(SEARCH("南",R65)),ISNUMBER(SEARCH("北",R65))),"是","否")</f>
        <v>是</v>
      </c>
      <c r="T65" s="13" t="s">
        <v>45</v>
      </c>
      <c r="U65" s="16" t="n">
        <v>160.7</v>
      </c>
      <c r="V65" s="17" t="n">
        <v>13857</v>
      </c>
      <c r="W65" s="17" t="n">
        <f aca="false">ROUND(U65*10000/N65,0)</f>
        <v>13857</v>
      </c>
      <c r="X65" s="18" t="n">
        <f aca="false">W65-V65</f>
        <v>0</v>
      </c>
      <c r="Y65" s="13" t="str">
        <f aca="false">IF(AND(I65=3,N65&gt;=本案估值!$C$7,N65&lt;=本案估值!$C$8,D65&gt;=本案估值!$C$9),"是","否")</f>
        <v>否</v>
      </c>
    </row>
    <row r="66" customFormat="false" ht="15" hidden="false" customHeight="false" outlineLevel="0" collapsed="false">
      <c r="A66" s="6" t="n">
        <v>65</v>
      </c>
      <c r="B66" s="6" t="n">
        <v>17</v>
      </c>
      <c r="C66" s="6" t="s">
        <v>46</v>
      </c>
      <c r="D66" s="7" t="n">
        <v>45858</v>
      </c>
      <c r="E66" s="6" t="n">
        <f aca="false">YEAR(D66)</f>
        <v>2025</v>
      </c>
      <c r="F66" s="6" t="str">
        <f aca="false">YEAR(D66)&amp;"Q"&amp;ROUNDUP(MONTH(D66)/3,0)</f>
        <v>2025Q3</v>
      </c>
      <c r="G66" s="6" t="str">
        <f aca="false">YEAR(D66)&amp;"H"&amp;IF(MONTH(D66)&lt;=6,1,2)</f>
        <v>2025H2</v>
      </c>
      <c r="H66" s="5" t="s">
        <v>53</v>
      </c>
      <c r="I66" s="6" t="n">
        <v>3</v>
      </c>
      <c r="J66" s="6" t="n">
        <v>2</v>
      </c>
      <c r="K66" s="6" t="n">
        <v>1</v>
      </c>
      <c r="L66" s="6" t="n">
        <v>1</v>
      </c>
      <c r="M66" s="6" t="str">
        <f aca="false">I66&amp;"室"&amp;J66&amp;"厅"&amp;L66&amp;"卫"</f>
        <v>3室2厅1卫</v>
      </c>
      <c r="N66" s="8" t="n">
        <v>115.97</v>
      </c>
      <c r="O66" s="6" t="str">
        <f aca="false">IF(N66&lt;60,"60㎡以下",IF(N66&lt;90,"75-77㎡",IF(N66&lt;100,"94-97㎡",IF(N66&lt;120,"106-117㎡",IF(N66&lt;150,"124㎡","150㎡以上")))))</f>
        <v>106-117㎡</v>
      </c>
      <c r="P66" s="6" t="s">
        <v>49</v>
      </c>
      <c r="Q66" s="6" t="n">
        <v>33</v>
      </c>
      <c r="R66" s="6" t="s">
        <v>48</v>
      </c>
      <c r="S66" s="6" t="str">
        <f aca="false">IF(AND(ISNUMBER(SEARCH("南",R66)),ISNUMBER(SEARCH("北",R66))),"是","否")</f>
        <v>否</v>
      </c>
      <c r="T66" s="6" t="s">
        <v>45</v>
      </c>
      <c r="U66" s="9" t="n">
        <v>167</v>
      </c>
      <c r="V66" s="10" t="n">
        <v>14400</v>
      </c>
      <c r="W66" s="10" t="n">
        <f aca="false">ROUND(U66*10000/N66,0)</f>
        <v>14400</v>
      </c>
      <c r="X66" s="11" t="n">
        <f aca="false">W66-V66</f>
        <v>0</v>
      </c>
      <c r="Y66" s="6" t="str">
        <f aca="false">IF(AND(I66=3,N66&gt;=本案估值!$C$7,N66&lt;=本案估值!$C$8,D66&gt;=本案估值!$C$9),"是","否")</f>
        <v>否</v>
      </c>
    </row>
    <row r="67" customFormat="false" ht="15" hidden="false" customHeight="false" outlineLevel="0" collapsed="false">
      <c r="A67" s="13" t="n">
        <v>66</v>
      </c>
      <c r="B67" s="13" t="n">
        <v>17</v>
      </c>
      <c r="C67" s="13" t="s">
        <v>46</v>
      </c>
      <c r="D67" s="14" t="n">
        <v>45839</v>
      </c>
      <c r="E67" s="13" t="n">
        <f aca="false">YEAR(D67)</f>
        <v>2025</v>
      </c>
      <c r="F67" s="13" t="str">
        <f aca="false">YEAR(D67)&amp;"Q"&amp;ROUNDUP(MONTH(D67)/3,0)</f>
        <v>2025Q3</v>
      </c>
      <c r="G67" s="13" t="str">
        <f aca="false">YEAR(D67)&amp;"H"&amp;IF(MONTH(D67)&lt;=6,1,2)</f>
        <v>2025H2</v>
      </c>
      <c r="H67" s="12" t="s">
        <v>42</v>
      </c>
      <c r="I67" s="13" t="n">
        <v>3</v>
      </c>
      <c r="J67" s="13" t="n">
        <v>2</v>
      </c>
      <c r="K67" s="13" t="n">
        <v>1</v>
      </c>
      <c r="L67" s="13" t="n">
        <v>2</v>
      </c>
      <c r="M67" s="13" t="str">
        <f aca="false">I67&amp;"室"&amp;J67&amp;"厅"&amp;L67&amp;"卫"</f>
        <v>3室2厅2卫</v>
      </c>
      <c r="N67" s="15" t="n">
        <v>116.4</v>
      </c>
      <c r="O67" s="13" t="str">
        <f aca="false">IF(N67&lt;60,"60㎡以下",IF(N67&lt;90,"75-77㎡",IF(N67&lt;100,"94-97㎡",IF(N67&lt;120,"106-117㎡",IF(N67&lt;150,"124㎡","150㎡以上")))))</f>
        <v>106-117㎡</v>
      </c>
      <c r="P67" s="13" t="s">
        <v>49</v>
      </c>
      <c r="Q67" s="13" t="n">
        <v>33</v>
      </c>
      <c r="R67" s="13" t="s">
        <v>48</v>
      </c>
      <c r="S67" s="13" t="str">
        <f aca="false">IF(AND(ISNUMBER(SEARCH("南",R67)),ISNUMBER(SEARCH("北",R67))),"是","否")</f>
        <v>否</v>
      </c>
      <c r="T67" s="13" t="s">
        <v>45</v>
      </c>
      <c r="U67" s="16" t="n">
        <v>169</v>
      </c>
      <c r="V67" s="17" t="n">
        <v>14519</v>
      </c>
      <c r="W67" s="17" t="n">
        <f aca="false">ROUND(U67*10000/N67,0)</f>
        <v>14519</v>
      </c>
      <c r="X67" s="18" t="n">
        <f aca="false">W67-V67</f>
        <v>0</v>
      </c>
      <c r="Y67" s="13" t="str">
        <f aca="false">IF(AND(I67=3,N67&gt;=本案估值!$C$7,N67&lt;=本案估值!$C$8,D67&gt;=本案估值!$C$9),"是","否")</f>
        <v>否</v>
      </c>
    </row>
    <row r="68" customFormat="false" ht="15" hidden="false" customHeight="false" outlineLevel="0" collapsed="false">
      <c r="A68" s="6" t="n">
        <v>67</v>
      </c>
      <c r="B68" s="6" t="n">
        <v>17</v>
      </c>
      <c r="C68" s="6" t="s">
        <v>46</v>
      </c>
      <c r="D68" s="7" t="n">
        <v>45826</v>
      </c>
      <c r="E68" s="6" t="n">
        <f aca="false">YEAR(D68)</f>
        <v>2025</v>
      </c>
      <c r="F68" s="6" t="str">
        <f aca="false">YEAR(D68)&amp;"Q"&amp;ROUNDUP(MONTH(D68)/3,0)</f>
        <v>2025Q2</v>
      </c>
      <c r="G68" s="6" t="str">
        <f aca="false">YEAR(D68)&amp;"H"&amp;IF(MONTH(D68)&lt;=6,1,2)</f>
        <v>2025H1</v>
      </c>
      <c r="H68" s="5" t="s">
        <v>53</v>
      </c>
      <c r="I68" s="6" t="n">
        <v>3</v>
      </c>
      <c r="J68" s="6" t="n">
        <v>2</v>
      </c>
      <c r="K68" s="6" t="n">
        <v>1</v>
      </c>
      <c r="L68" s="6" t="n">
        <v>1</v>
      </c>
      <c r="M68" s="6" t="str">
        <f aca="false">I68&amp;"室"&amp;J68&amp;"厅"&amp;L68&amp;"卫"</f>
        <v>3室2厅1卫</v>
      </c>
      <c r="N68" s="8" t="n">
        <v>94.86</v>
      </c>
      <c r="O68" s="6" t="str">
        <f aca="false">IF(N68&lt;60,"60㎡以下",IF(N68&lt;90,"75-77㎡",IF(N68&lt;100,"94-97㎡",IF(N68&lt;120,"106-117㎡",IF(N68&lt;150,"124㎡","150㎡以上")))))</f>
        <v>94-97㎡</v>
      </c>
      <c r="P68" s="6" t="s">
        <v>49</v>
      </c>
      <c r="Q68" s="6" t="n">
        <v>33</v>
      </c>
      <c r="R68" s="6" t="s">
        <v>48</v>
      </c>
      <c r="S68" s="6" t="str">
        <f aca="false">IF(AND(ISNUMBER(SEARCH("南",R68)),ISNUMBER(SEARCH("北",R68))),"是","否")</f>
        <v>否</v>
      </c>
      <c r="T68" s="6" t="s">
        <v>45</v>
      </c>
      <c r="U68" s="9" t="n">
        <v>117</v>
      </c>
      <c r="V68" s="10" t="n">
        <v>12334</v>
      </c>
      <c r="W68" s="10" t="n">
        <f aca="false">ROUND(U68*10000/N68,0)</f>
        <v>12334</v>
      </c>
      <c r="X68" s="11" t="n">
        <f aca="false">W68-V68</f>
        <v>0</v>
      </c>
      <c r="Y68" s="6" t="str">
        <f aca="false">IF(AND(I68=3,N68&gt;=本案估值!$C$7,N68&lt;=本案估值!$C$8,D68&gt;=本案估值!$C$9),"是","否")</f>
        <v>否</v>
      </c>
    </row>
    <row r="69" customFormat="false" ht="15" hidden="false" customHeight="false" outlineLevel="0" collapsed="false">
      <c r="A69" s="13" t="n">
        <v>68</v>
      </c>
      <c r="B69" s="13" t="n">
        <v>17</v>
      </c>
      <c r="C69" s="13" t="s">
        <v>46</v>
      </c>
      <c r="D69" s="14" t="n">
        <v>45813</v>
      </c>
      <c r="E69" s="13" t="n">
        <f aca="false">YEAR(D69)</f>
        <v>2025</v>
      </c>
      <c r="F69" s="13" t="str">
        <f aca="false">YEAR(D69)&amp;"Q"&amp;ROUNDUP(MONTH(D69)/3,0)</f>
        <v>2025Q2</v>
      </c>
      <c r="G69" s="13" t="str">
        <f aca="false">YEAR(D69)&amp;"H"&amp;IF(MONTH(D69)&lt;=6,1,2)</f>
        <v>2025H1</v>
      </c>
      <c r="H69" s="12" t="s">
        <v>42</v>
      </c>
      <c r="I69" s="13" t="n">
        <v>3</v>
      </c>
      <c r="J69" s="13" t="n">
        <v>2</v>
      </c>
      <c r="K69" s="13" t="n">
        <v>1</v>
      </c>
      <c r="L69" s="13" t="n">
        <v>2</v>
      </c>
      <c r="M69" s="13" t="str">
        <f aca="false">I69&amp;"室"&amp;J69&amp;"厅"&amp;L69&amp;"卫"</f>
        <v>3室2厅2卫</v>
      </c>
      <c r="N69" s="15" t="n">
        <v>113.37</v>
      </c>
      <c r="O69" s="13" t="str">
        <f aca="false">IF(N69&lt;60,"60㎡以下",IF(N69&lt;90,"75-77㎡",IF(N69&lt;100,"94-97㎡",IF(N69&lt;120,"106-117㎡",IF(N69&lt;150,"124㎡","150㎡以上")))))</f>
        <v>106-117㎡</v>
      </c>
      <c r="P69" s="13" t="s">
        <v>50</v>
      </c>
      <c r="Q69" s="13" t="n">
        <v>33</v>
      </c>
      <c r="R69" s="13" t="s">
        <v>48</v>
      </c>
      <c r="S69" s="13" t="str">
        <f aca="false">IF(AND(ISNUMBER(SEARCH("南",R69)),ISNUMBER(SEARCH("北",R69))),"是","否")</f>
        <v>否</v>
      </c>
      <c r="T69" s="13" t="s">
        <v>45</v>
      </c>
      <c r="U69" s="16" t="n">
        <v>160</v>
      </c>
      <c r="V69" s="17" t="n">
        <v>14113</v>
      </c>
      <c r="W69" s="17" t="n">
        <f aca="false">ROUND(U69*10000/N69,0)</f>
        <v>14113</v>
      </c>
      <c r="X69" s="18" t="n">
        <f aca="false">W69-V69</f>
        <v>0</v>
      </c>
      <c r="Y69" s="13" t="str">
        <f aca="false">IF(AND(I69=3,N69&gt;=本案估值!$C$7,N69&lt;=本案估值!$C$8,D69&gt;=本案估值!$C$9),"是","否")</f>
        <v>否</v>
      </c>
    </row>
    <row r="70" customFormat="false" ht="15" hidden="false" customHeight="false" outlineLevel="0" collapsed="false">
      <c r="A70" s="6" t="n">
        <v>69</v>
      </c>
      <c r="B70" s="6" t="n">
        <v>18</v>
      </c>
      <c r="C70" s="6" t="s">
        <v>46</v>
      </c>
      <c r="D70" s="7" t="n">
        <v>45810</v>
      </c>
      <c r="E70" s="6" t="n">
        <f aca="false">YEAR(D70)</f>
        <v>2025</v>
      </c>
      <c r="F70" s="6" t="str">
        <f aca="false">YEAR(D70)&amp;"Q"&amp;ROUNDUP(MONTH(D70)/3,0)</f>
        <v>2025Q2</v>
      </c>
      <c r="G70" s="6" t="str">
        <f aca="false">YEAR(D70)&amp;"H"&amp;IF(MONTH(D70)&lt;=6,1,2)</f>
        <v>2025H1</v>
      </c>
      <c r="H70" s="5" t="s">
        <v>42</v>
      </c>
      <c r="I70" s="6" t="n">
        <v>3</v>
      </c>
      <c r="J70" s="6" t="n">
        <v>2</v>
      </c>
      <c r="K70" s="6" t="n">
        <v>1</v>
      </c>
      <c r="L70" s="6" t="n">
        <v>2</v>
      </c>
      <c r="M70" s="6" t="str">
        <f aca="false">I70&amp;"室"&amp;J70&amp;"厅"&amp;L70&amp;"卫"</f>
        <v>3室2厅2卫</v>
      </c>
      <c r="N70" s="8" t="n">
        <v>109.99</v>
      </c>
      <c r="O70" s="6" t="str">
        <f aca="false">IF(N70&lt;60,"60㎡以下",IF(N70&lt;90,"75-77㎡",IF(N70&lt;100,"94-97㎡",IF(N70&lt;120,"106-117㎡",IF(N70&lt;150,"124㎡","150㎡以上")))))</f>
        <v>106-117㎡</v>
      </c>
      <c r="P70" s="6" t="s">
        <v>49</v>
      </c>
      <c r="Q70" s="6" t="n">
        <v>33</v>
      </c>
      <c r="R70" s="6" t="s">
        <v>48</v>
      </c>
      <c r="S70" s="6" t="str">
        <f aca="false">IF(AND(ISNUMBER(SEARCH("南",R70)),ISNUMBER(SEARCH("北",R70))),"是","否")</f>
        <v>否</v>
      </c>
      <c r="T70" s="6" t="s">
        <v>45</v>
      </c>
      <c r="U70" s="9" t="n">
        <v>158.5</v>
      </c>
      <c r="V70" s="10" t="n">
        <v>14410</v>
      </c>
      <c r="W70" s="10" t="n">
        <f aca="false">ROUND(U70*10000/N70,0)</f>
        <v>14410</v>
      </c>
      <c r="X70" s="11" t="n">
        <f aca="false">W70-V70</f>
        <v>0</v>
      </c>
      <c r="Y70" s="6" t="str">
        <f aca="false">IF(AND(I70=3,N70&gt;=本案估值!$C$7,N70&lt;=本案估值!$C$8,D70&gt;=本案估值!$C$9),"是","否")</f>
        <v>否</v>
      </c>
    </row>
    <row r="71" customFormat="false" ht="15" hidden="false" customHeight="false" outlineLevel="0" collapsed="false">
      <c r="A71" s="13" t="n">
        <v>70</v>
      </c>
      <c r="B71" s="13" t="n">
        <v>18</v>
      </c>
      <c r="C71" s="13" t="s">
        <v>46</v>
      </c>
      <c r="D71" s="14" t="n">
        <v>45809</v>
      </c>
      <c r="E71" s="13" t="n">
        <f aca="false">YEAR(D71)</f>
        <v>2025</v>
      </c>
      <c r="F71" s="13" t="str">
        <f aca="false">YEAR(D71)&amp;"Q"&amp;ROUNDUP(MONTH(D71)/3,0)</f>
        <v>2025Q2</v>
      </c>
      <c r="G71" s="13" t="str">
        <f aca="false">YEAR(D71)&amp;"H"&amp;IF(MONTH(D71)&lt;=6,1,2)</f>
        <v>2025H1</v>
      </c>
      <c r="H71" s="12" t="s">
        <v>53</v>
      </c>
      <c r="I71" s="13" t="n">
        <v>3</v>
      </c>
      <c r="J71" s="13" t="n">
        <v>2</v>
      </c>
      <c r="K71" s="13" t="n">
        <v>1</v>
      </c>
      <c r="L71" s="13" t="n">
        <v>1</v>
      </c>
      <c r="M71" s="13" t="str">
        <f aca="false">I71&amp;"室"&amp;J71&amp;"厅"&amp;L71&amp;"卫"</f>
        <v>3室2厅1卫</v>
      </c>
      <c r="N71" s="15" t="n">
        <v>96.39</v>
      </c>
      <c r="O71" s="13" t="str">
        <f aca="false">IF(N71&lt;60,"60㎡以下",IF(N71&lt;90,"75-77㎡",IF(N71&lt;100,"94-97㎡",IF(N71&lt;120,"106-117㎡",IF(N71&lt;150,"124㎡","150㎡以上")))))</f>
        <v>94-97㎡</v>
      </c>
      <c r="P71" s="13" t="s">
        <v>49</v>
      </c>
      <c r="Q71" s="13" t="n">
        <v>33</v>
      </c>
      <c r="R71" s="13" t="s">
        <v>48</v>
      </c>
      <c r="S71" s="13" t="str">
        <f aca="false">IF(AND(ISNUMBER(SEARCH("南",R71)),ISNUMBER(SEARCH("北",R71))),"是","否")</f>
        <v>否</v>
      </c>
      <c r="T71" s="13" t="s">
        <v>45</v>
      </c>
      <c r="U71" s="16" t="n">
        <v>133</v>
      </c>
      <c r="V71" s="17" t="n">
        <v>13798</v>
      </c>
      <c r="W71" s="17" t="n">
        <f aca="false">ROUND(U71*10000/N71,0)</f>
        <v>13798</v>
      </c>
      <c r="X71" s="18" t="n">
        <f aca="false">W71-V71</f>
        <v>0</v>
      </c>
      <c r="Y71" s="13" t="str">
        <f aca="false">IF(AND(I71=3,N71&gt;=本案估值!$C$7,N71&lt;=本案估值!$C$8,D71&gt;=本案估值!$C$9),"是","否")</f>
        <v>否</v>
      </c>
    </row>
    <row r="72" customFormat="false" ht="15" hidden="false" customHeight="false" outlineLevel="0" collapsed="false">
      <c r="A72" s="6" t="n">
        <v>71</v>
      </c>
      <c r="B72" s="6" t="n">
        <v>18</v>
      </c>
      <c r="C72" s="6" t="s">
        <v>46</v>
      </c>
      <c r="D72" s="7" t="n">
        <v>45807</v>
      </c>
      <c r="E72" s="6" t="n">
        <f aca="false">YEAR(D72)</f>
        <v>2025</v>
      </c>
      <c r="F72" s="6" t="str">
        <f aca="false">YEAR(D72)&amp;"Q"&amp;ROUNDUP(MONTH(D72)/3,0)</f>
        <v>2025Q2</v>
      </c>
      <c r="G72" s="6" t="str">
        <f aca="false">YEAR(D72)&amp;"H"&amp;IF(MONTH(D72)&lt;=6,1,2)</f>
        <v>2025H1</v>
      </c>
      <c r="H72" s="5" t="s">
        <v>47</v>
      </c>
      <c r="I72" s="6" t="n">
        <v>2</v>
      </c>
      <c r="J72" s="6" t="n">
        <v>1</v>
      </c>
      <c r="K72" s="6" t="n">
        <v>1</v>
      </c>
      <c r="L72" s="6" t="n">
        <v>1</v>
      </c>
      <c r="M72" s="6" t="str">
        <f aca="false">I72&amp;"室"&amp;J72&amp;"厅"&amp;L72&amp;"卫"</f>
        <v>2室1厅1卫</v>
      </c>
      <c r="N72" s="8" t="n">
        <v>75.68</v>
      </c>
      <c r="O72" s="6" t="str">
        <f aca="false">IF(N72&lt;60,"60㎡以下",IF(N72&lt;90,"75-77㎡",IF(N72&lt;100,"94-97㎡",IF(N72&lt;120,"106-117㎡",IF(N72&lt;150,"124㎡","150㎡以上")))))</f>
        <v>75-77㎡</v>
      </c>
      <c r="P72" s="6" t="s">
        <v>43</v>
      </c>
      <c r="Q72" s="6" t="n">
        <v>33</v>
      </c>
      <c r="R72" s="6" t="s">
        <v>48</v>
      </c>
      <c r="S72" s="6" t="str">
        <f aca="false">IF(AND(ISNUMBER(SEARCH("南",R72)),ISNUMBER(SEARCH("北",R72))),"是","否")</f>
        <v>否</v>
      </c>
      <c r="T72" s="6" t="s">
        <v>45</v>
      </c>
      <c r="U72" s="9" t="n">
        <v>103.5</v>
      </c>
      <c r="V72" s="10" t="n">
        <v>13676</v>
      </c>
      <c r="W72" s="10" t="n">
        <f aca="false">ROUND(U72*10000/N72,0)</f>
        <v>13676</v>
      </c>
      <c r="X72" s="11" t="n">
        <f aca="false">W72-V72</f>
        <v>0</v>
      </c>
      <c r="Y72" s="6" t="str">
        <f aca="false">IF(AND(I72=3,N72&gt;=本案估值!$C$7,N72&lt;=本案估值!$C$8,D72&gt;=本案估值!$C$9),"是","否")</f>
        <v>否</v>
      </c>
    </row>
    <row r="73" customFormat="false" ht="15" hidden="false" customHeight="false" outlineLevel="0" collapsed="false">
      <c r="A73" s="13" t="n">
        <v>72</v>
      </c>
      <c r="B73" s="13" t="n">
        <v>18</v>
      </c>
      <c r="C73" s="13" t="s">
        <v>46</v>
      </c>
      <c r="D73" s="14" t="n">
        <v>45802</v>
      </c>
      <c r="E73" s="13" t="n">
        <f aca="false">YEAR(D73)</f>
        <v>2025</v>
      </c>
      <c r="F73" s="13" t="str">
        <f aca="false">YEAR(D73)&amp;"Q"&amp;ROUNDUP(MONTH(D73)/3,0)</f>
        <v>2025Q2</v>
      </c>
      <c r="G73" s="13" t="str">
        <f aca="false">YEAR(D73)&amp;"H"&amp;IF(MONTH(D73)&lt;=6,1,2)</f>
        <v>2025H1</v>
      </c>
      <c r="H73" s="12" t="s">
        <v>57</v>
      </c>
      <c r="I73" s="13" t="n">
        <v>2</v>
      </c>
      <c r="J73" s="13" t="n">
        <v>2</v>
      </c>
      <c r="K73" s="13" t="n">
        <v>1</v>
      </c>
      <c r="L73" s="13" t="n">
        <v>1</v>
      </c>
      <c r="M73" s="13" t="str">
        <f aca="false">I73&amp;"室"&amp;J73&amp;"厅"&amp;L73&amp;"卫"</f>
        <v>2室2厅1卫</v>
      </c>
      <c r="N73" s="15" t="n">
        <v>75.49</v>
      </c>
      <c r="O73" s="13" t="str">
        <f aca="false">IF(N73&lt;60,"60㎡以下",IF(N73&lt;90,"75-77㎡",IF(N73&lt;100,"94-97㎡",IF(N73&lt;120,"106-117㎡",IF(N73&lt;150,"124㎡","150㎡以上")))))</f>
        <v>75-77㎡</v>
      </c>
      <c r="P73" s="13" t="s">
        <v>49</v>
      </c>
      <c r="Q73" s="13" t="n">
        <v>33</v>
      </c>
      <c r="R73" s="13" t="s">
        <v>48</v>
      </c>
      <c r="S73" s="13" t="str">
        <f aca="false">IF(AND(ISNUMBER(SEARCH("南",R73)),ISNUMBER(SEARCH("北",R73))),"是","否")</f>
        <v>否</v>
      </c>
      <c r="T73" s="13" t="s">
        <v>52</v>
      </c>
      <c r="U73" s="16" t="n">
        <v>108</v>
      </c>
      <c r="V73" s="17" t="n">
        <v>14307</v>
      </c>
      <c r="W73" s="17" t="n">
        <f aca="false">ROUND(U73*10000/N73,0)</f>
        <v>14307</v>
      </c>
      <c r="X73" s="18" t="n">
        <f aca="false">W73-V73</f>
        <v>0</v>
      </c>
      <c r="Y73" s="13" t="str">
        <f aca="false">IF(AND(I73=3,N73&gt;=本案估值!$C$7,N73&lt;=本案估值!$C$8,D73&gt;=本案估值!$C$9),"是","否")</f>
        <v>否</v>
      </c>
    </row>
    <row r="74" customFormat="false" ht="15" hidden="false" customHeight="false" outlineLevel="0" collapsed="false">
      <c r="A74" s="6" t="n">
        <v>73</v>
      </c>
      <c r="B74" s="6" t="n">
        <v>19</v>
      </c>
      <c r="C74" s="6" t="s">
        <v>46</v>
      </c>
      <c r="D74" s="7" t="n">
        <v>45753</v>
      </c>
      <c r="E74" s="6" t="n">
        <f aca="false">YEAR(D74)</f>
        <v>2025</v>
      </c>
      <c r="F74" s="6" t="str">
        <f aca="false">YEAR(D74)&amp;"Q"&amp;ROUNDUP(MONTH(D74)/3,0)</f>
        <v>2025Q2</v>
      </c>
      <c r="G74" s="6" t="str">
        <f aca="false">YEAR(D74)&amp;"H"&amp;IF(MONTH(D74)&lt;=6,1,2)</f>
        <v>2025H1</v>
      </c>
      <c r="H74" s="5" t="s">
        <v>42</v>
      </c>
      <c r="I74" s="6" t="n">
        <v>3</v>
      </c>
      <c r="J74" s="6" t="n">
        <v>2</v>
      </c>
      <c r="K74" s="6" t="n">
        <v>1</v>
      </c>
      <c r="L74" s="6" t="n">
        <v>2</v>
      </c>
      <c r="M74" s="6" t="str">
        <f aca="false">I74&amp;"室"&amp;J74&amp;"厅"&amp;L74&amp;"卫"</f>
        <v>3室2厅2卫</v>
      </c>
      <c r="N74" s="8" t="n">
        <v>115.97</v>
      </c>
      <c r="O74" s="6" t="str">
        <f aca="false">IF(N74&lt;60,"60㎡以下",IF(N74&lt;90,"75-77㎡",IF(N74&lt;100,"94-97㎡",IF(N74&lt;120,"106-117㎡",IF(N74&lt;150,"124㎡","150㎡以上")))))</f>
        <v>106-117㎡</v>
      </c>
      <c r="P74" s="6" t="s">
        <v>43</v>
      </c>
      <c r="Q74" s="6" t="n">
        <v>33</v>
      </c>
      <c r="R74" s="6" t="s">
        <v>48</v>
      </c>
      <c r="S74" s="6" t="str">
        <f aca="false">IF(AND(ISNUMBER(SEARCH("南",R74)),ISNUMBER(SEARCH("北",R74))),"是","否")</f>
        <v>否</v>
      </c>
      <c r="T74" s="6" t="s">
        <v>45</v>
      </c>
      <c r="U74" s="9" t="n">
        <v>160.9</v>
      </c>
      <c r="V74" s="10" t="n">
        <v>13874</v>
      </c>
      <c r="W74" s="10" t="n">
        <f aca="false">ROUND(U74*10000/N74,0)</f>
        <v>13874</v>
      </c>
      <c r="X74" s="11" t="n">
        <f aca="false">W74-V74</f>
        <v>0</v>
      </c>
      <c r="Y74" s="6" t="str">
        <f aca="false">IF(AND(I74=3,N74&gt;=本案估值!$C$7,N74&lt;=本案估值!$C$8,D74&gt;=本案估值!$C$9),"是","否")</f>
        <v>否</v>
      </c>
    </row>
    <row r="75" customFormat="false" ht="15" hidden="false" customHeight="false" outlineLevel="0" collapsed="false">
      <c r="A75" s="13" t="n">
        <v>74</v>
      </c>
      <c r="B75" s="13" t="n">
        <v>19</v>
      </c>
      <c r="C75" s="13" t="s">
        <v>46</v>
      </c>
      <c r="D75" s="14" t="n">
        <v>45746</v>
      </c>
      <c r="E75" s="13" t="n">
        <f aca="false">YEAR(D75)</f>
        <v>2025</v>
      </c>
      <c r="F75" s="13" t="str">
        <f aca="false">YEAR(D75)&amp;"Q"&amp;ROUNDUP(MONTH(D75)/3,0)</f>
        <v>2025Q1</v>
      </c>
      <c r="G75" s="13" t="str">
        <f aca="false">YEAR(D75)&amp;"H"&amp;IF(MONTH(D75)&lt;=6,1,2)</f>
        <v>2025H1</v>
      </c>
      <c r="H75" s="12" t="s">
        <v>57</v>
      </c>
      <c r="I75" s="13" t="n">
        <v>2</v>
      </c>
      <c r="J75" s="13" t="n">
        <v>2</v>
      </c>
      <c r="K75" s="13" t="n">
        <v>1</v>
      </c>
      <c r="L75" s="13" t="n">
        <v>1</v>
      </c>
      <c r="M75" s="13" t="str">
        <f aca="false">I75&amp;"室"&amp;J75&amp;"厅"&amp;L75&amp;"卫"</f>
        <v>2室2厅1卫</v>
      </c>
      <c r="N75" s="15" t="n">
        <v>76.1</v>
      </c>
      <c r="O75" s="13" t="str">
        <f aca="false">IF(N75&lt;60,"60㎡以下",IF(N75&lt;90,"75-77㎡",IF(N75&lt;100,"94-97㎡",IF(N75&lt;120,"106-117㎡",IF(N75&lt;150,"124㎡","150㎡以上")))))</f>
        <v>75-77㎡</v>
      </c>
      <c r="P75" s="13" t="s">
        <v>43</v>
      </c>
      <c r="Q75" s="13" t="n">
        <v>33</v>
      </c>
      <c r="R75" s="13" t="s">
        <v>48</v>
      </c>
      <c r="S75" s="13" t="str">
        <f aca="false">IF(AND(ISNUMBER(SEARCH("南",R75)),ISNUMBER(SEARCH("北",R75))),"是","否")</f>
        <v>否</v>
      </c>
      <c r="T75" s="13" t="s">
        <v>45</v>
      </c>
      <c r="U75" s="16" t="n">
        <v>106</v>
      </c>
      <c r="V75" s="17" t="n">
        <v>13929</v>
      </c>
      <c r="W75" s="17" t="n">
        <f aca="false">ROUND(U75*10000/N75,0)</f>
        <v>13929</v>
      </c>
      <c r="X75" s="18" t="n">
        <f aca="false">W75-V75</f>
        <v>0</v>
      </c>
      <c r="Y75" s="13" t="str">
        <f aca="false">IF(AND(I75=3,N75&gt;=本案估值!$C$7,N75&lt;=本案估值!$C$8,D75&gt;=本案估值!$C$9),"是","否")</f>
        <v>否</v>
      </c>
    </row>
    <row r="76" customFormat="false" ht="15" hidden="false" customHeight="false" outlineLevel="0" collapsed="false">
      <c r="A76" s="6" t="n">
        <v>75</v>
      </c>
      <c r="B76" s="6" t="n">
        <v>19</v>
      </c>
      <c r="C76" s="6" t="s">
        <v>46</v>
      </c>
      <c r="D76" s="7" t="n">
        <v>45746</v>
      </c>
      <c r="E76" s="6" t="n">
        <f aca="false">YEAR(D76)</f>
        <v>2025</v>
      </c>
      <c r="F76" s="6" t="str">
        <f aca="false">YEAR(D76)&amp;"Q"&amp;ROUNDUP(MONTH(D76)/3,0)</f>
        <v>2025Q1</v>
      </c>
      <c r="G76" s="6" t="str">
        <f aca="false">YEAR(D76)&amp;"H"&amp;IF(MONTH(D76)&lt;=6,1,2)</f>
        <v>2025H1</v>
      </c>
      <c r="H76" s="5" t="s">
        <v>53</v>
      </c>
      <c r="I76" s="6" t="n">
        <v>3</v>
      </c>
      <c r="J76" s="6" t="n">
        <v>2</v>
      </c>
      <c r="K76" s="6" t="n">
        <v>1</v>
      </c>
      <c r="L76" s="6" t="n">
        <v>1</v>
      </c>
      <c r="M76" s="6" t="str">
        <f aca="false">I76&amp;"室"&amp;J76&amp;"厅"&amp;L76&amp;"卫"</f>
        <v>3室2厅1卫</v>
      </c>
      <c r="N76" s="8" t="n">
        <v>96.4</v>
      </c>
      <c r="O76" s="6" t="str">
        <f aca="false">IF(N76&lt;60,"60㎡以下",IF(N76&lt;90,"75-77㎡",IF(N76&lt;100,"94-97㎡",IF(N76&lt;120,"106-117㎡",IF(N76&lt;150,"124㎡","150㎡以上")))))</f>
        <v>94-97㎡</v>
      </c>
      <c r="P76" s="6" t="s">
        <v>50</v>
      </c>
      <c r="Q76" s="6" t="n">
        <v>33</v>
      </c>
      <c r="R76" s="6" t="s">
        <v>48</v>
      </c>
      <c r="S76" s="6" t="str">
        <f aca="false">IF(AND(ISNUMBER(SEARCH("南",R76)),ISNUMBER(SEARCH("北",R76))),"是","否")</f>
        <v>否</v>
      </c>
      <c r="T76" s="6" t="s">
        <v>45</v>
      </c>
      <c r="U76" s="9" t="n">
        <v>132.8</v>
      </c>
      <c r="V76" s="10" t="n">
        <v>13776</v>
      </c>
      <c r="W76" s="10" t="n">
        <f aca="false">ROUND(U76*10000/N76,0)</f>
        <v>13776</v>
      </c>
      <c r="X76" s="11" t="n">
        <f aca="false">W76-V76</f>
        <v>0</v>
      </c>
      <c r="Y76" s="6" t="str">
        <f aca="false">IF(AND(I76=3,N76&gt;=本案估值!$C$7,N76&lt;=本案估值!$C$8,D76&gt;=本案估值!$C$9),"是","否")</f>
        <v>否</v>
      </c>
    </row>
    <row r="77" customFormat="false" ht="15" hidden="false" customHeight="false" outlineLevel="0" collapsed="false">
      <c r="A77" s="13" t="n">
        <v>76</v>
      </c>
      <c r="B77" s="13" t="n">
        <v>19</v>
      </c>
      <c r="C77" s="13" t="s">
        <v>46</v>
      </c>
      <c r="D77" s="14" t="n">
        <v>45740</v>
      </c>
      <c r="E77" s="13" t="n">
        <f aca="false">YEAR(D77)</f>
        <v>2025</v>
      </c>
      <c r="F77" s="13" t="str">
        <f aca="false">YEAR(D77)&amp;"Q"&amp;ROUNDUP(MONTH(D77)/3,0)</f>
        <v>2025Q1</v>
      </c>
      <c r="G77" s="13" t="str">
        <f aca="false">YEAR(D77)&amp;"H"&amp;IF(MONTH(D77)&lt;=6,1,2)</f>
        <v>2025H1</v>
      </c>
      <c r="H77" s="12" t="s">
        <v>57</v>
      </c>
      <c r="I77" s="13" t="n">
        <v>2</v>
      </c>
      <c r="J77" s="13" t="n">
        <v>2</v>
      </c>
      <c r="K77" s="13" t="n">
        <v>1</v>
      </c>
      <c r="L77" s="13" t="n">
        <v>1</v>
      </c>
      <c r="M77" s="13" t="str">
        <f aca="false">I77&amp;"室"&amp;J77&amp;"厅"&amp;L77&amp;"卫"</f>
        <v>2室2厅1卫</v>
      </c>
      <c r="N77" s="15" t="n">
        <v>76.1</v>
      </c>
      <c r="O77" s="13" t="str">
        <f aca="false">IF(N77&lt;60,"60㎡以下",IF(N77&lt;90,"75-77㎡",IF(N77&lt;100,"94-97㎡",IF(N77&lt;120,"106-117㎡",IF(N77&lt;150,"124㎡","150㎡以上")))))</f>
        <v>75-77㎡</v>
      </c>
      <c r="P77" s="13" t="s">
        <v>50</v>
      </c>
      <c r="Q77" s="13" t="n">
        <v>33</v>
      </c>
      <c r="R77" s="13" t="s">
        <v>48</v>
      </c>
      <c r="S77" s="13" t="str">
        <f aca="false">IF(AND(ISNUMBER(SEARCH("南",R77)),ISNUMBER(SEARCH("北",R77))),"是","否")</f>
        <v>否</v>
      </c>
      <c r="T77" s="13" t="s">
        <v>45</v>
      </c>
      <c r="U77" s="16" t="n">
        <v>105.8</v>
      </c>
      <c r="V77" s="17" t="n">
        <v>13903</v>
      </c>
      <c r="W77" s="17" t="n">
        <f aca="false">ROUND(U77*10000/N77,0)</f>
        <v>13903</v>
      </c>
      <c r="X77" s="18" t="n">
        <f aca="false">W77-V77</f>
        <v>0</v>
      </c>
      <c r="Y77" s="13" t="str">
        <f aca="false">IF(AND(I77=3,N77&gt;=本案估值!$C$7,N77&lt;=本案估值!$C$8,D77&gt;=本案估值!$C$9),"是","否")</f>
        <v>否</v>
      </c>
    </row>
    <row r="78" customFormat="false" ht="15" hidden="false" customHeight="false" outlineLevel="0" collapsed="false">
      <c r="A78" s="6" t="n">
        <v>77</v>
      </c>
      <c r="B78" s="6" t="n">
        <v>20</v>
      </c>
      <c r="C78" s="6" t="s">
        <v>46</v>
      </c>
      <c r="D78" s="7" t="n">
        <v>45725</v>
      </c>
      <c r="E78" s="6" t="n">
        <f aca="false">YEAR(D78)</f>
        <v>2025</v>
      </c>
      <c r="F78" s="6" t="str">
        <f aca="false">YEAR(D78)&amp;"Q"&amp;ROUNDUP(MONTH(D78)/3,0)</f>
        <v>2025Q1</v>
      </c>
      <c r="G78" s="6" t="str">
        <f aca="false">YEAR(D78)&amp;"H"&amp;IF(MONTH(D78)&lt;=6,1,2)</f>
        <v>2025H1</v>
      </c>
      <c r="H78" s="5" t="s">
        <v>42</v>
      </c>
      <c r="I78" s="6" t="n">
        <v>3</v>
      </c>
      <c r="J78" s="6" t="n">
        <v>2</v>
      </c>
      <c r="K78" s="6" t="n">
        <v>1</v>
      </c>
      <c r="L78" s="6" t="n">
        <v>2</v>
      </c>
      <c r="M78" s="6" t="str">
        <f aca="false">I78&amp;"室"&amp;J78&amp;"厅"&amp;L78&amp;"卫"</f>
        <v>3室2厅2卫</v>
      </c>
      <c r="N78" s="8" t="n">
        <v>115.97</v>
      </c>
      <c r="O78" s="6" t="str">
        <f aca="false">IF(N78&lt;60,"60㎡以下",IF(N78&lt;90,"75-77㎡",IF(N78&lt;100,"94-97㎡",IF(N78&lt;120,"106-117㎡",IF(N78&lt;150,"124㎡","150㎡以上")))))</f>
        <v>106-117㎡</v>
      </c>
      <c r="P78" s="6" t="s">
        <v>43</v>
      </c>
      <c r="Q78" s="6" t="n">
        <v>33</v>
      </c>
      <c r="R78" s="6" t="s">
        <v>58</v>
      </c>
      <c r="S78" s="6" t="str">
        <f aca="false">IF(AND(ISNUMBER(SEARCH("南",R78)),ISNUMBER(SEARCH("北",R78))),"是","否")</f>
        <v>是</v>
      </c>
      <c r="T78" s="6" t="s">
        <v>45</v>
      </c>
      <c r="U78" s="9" t="n">
        <v>155.8</v>
      </c>
      <c r="V78" s="10" t="n">
        <v>13435</v>
      </c>
      <c r="W78" s="10" t="n">
        <f aca="false">ROUND(U78*10000/N78,0)</f>
        <v>13435</v>
      </c>
      <c r="X78" s="11" t="n">
        <f aca="false">W78-V78</f>
        <v>0</v>
      </c>
      <c r="Y78" s="6" t="str">
        <f aca="false">IF(AND(I78=3,N78&gt;=本案估值!$C$7,N78&lt;=本案估值!$C$8,D78&gt;=本案估值!$C$9),"是","否")</f>
        <v>否</v>
      </c>
    </row>
    <row r="79" customFormat="false" ht="15" hidden="false" customHeight="false" outlineLevel="0" collapsed="false">
      <c r="A79" s="13" t="n">
        <v>78</v>
      </c>
      <c r="B79" s="13" t="n">
        <v>20</v>
      </c>
      <c r="C79" s="13" t="s">
        <v>46</v>
      </c>
      <c r="D79" s="14" t="n">
        <v>45724</v>
      </c>
      <c r="E79" s="13" t="n">
        <f aca="false">YEAR(D79)</f>
        <v>2025</v>
      </c>
      <c r="F79" s="13" t="str">
        <f aca="false">YEAR(D79)&amp;"Q"&amp;ROUNDUP(MONTH(D79)/3,0)</f>
        <v>2025Q1</v>
      </c>
      <c r="G79" s="13" t="str">
        <f aca="false">YEAR(D79)&amp;"H"&amp;IF(MONTH(D79)&lt;=6,1,2)</f>
        <v>2025H1</v>
      </c>
      <c r="H79" s="12" t="s">
        <v>57</v>
      </c>
      <c r="I79" s="13" t="n">
        <v>2</v>
      </c>
      <c r="J79" s="13" t="n">
        <v>2</v>
      </c>
      <c r="K79" s="13" t="n">
        <v>1</v>
      </c>
      <c r="L79" s="13" t="n">
        <v>1</v>
      </c>
      <c r="M79" s="13" t="str">
        <f aca="false">I79&amp;"室"&amp;J79&amp;"厅"&amp;L79&amp;"卫"</f>
        <v>2室2厅1卫</v>
      </c>
      <c r="N79" s="15" t="n">
        <v>75.69</v>
      </c>
      <c r="O79" s="13" t="str">
        <f aca="false">IF(N79&lt;60,"60㎡以下",IF(N79&lt;90,"75-77㎡",IF(N79&lt;100,"94-97㎡",IF(N79&lt;120,"106-117㎡",IF(N79&lt;150,"124㎡","150㎡以上")))))</f>
        <v>75-77㎡</v>
      </c>
      <c r="P79" s="13" t="s">
        <v>43</v>
      </c>
      <c r="Q79" s="13" t="n">
        <v>33</v>
      </c>
      <c r="R79" s="13" t="s">
        <v>44</v>
      </c>
      <c r="S79" s="13" t="str">
        <f aca="false">IF(AND(ISNUMBER(SEARCH("南",R79)),ISNUMBER(SEARCH("北",R79))),"是","否")</f>
        <v>否</v>
      </c>
      <c r="T79" s="13" t="s">
        <v>45</v>
      </c>
      <c r="U79" s="16" t="n">
        <v>108.8</v>
      </c>
      <c r="V79" s="17" t="n">
        <v>14374</v>
      </c>
      <c r="W79" s="17" t="n">
        <f aca="false">ROUND(U79*10000/N79,0)</f>
        <v>14374</v>
      </c>
      <c r="X79" s="18" t="n">
        <f aca="false">W79-V79</f>
        <v>0</v>
      </c>
      <c r="Y79" s="13" t="str">
        <f aca="false">IF(AND(I79=3,N79&gt;=本案估值!$C$7,N79&lt;=本案估值!$C$8,D79&gt;=本案估值!$C$9),"是","否")</f>
        <v>否</v>
      </c>
    </row>
    <row r="80" customFormat="false" ht="15" hidden="false" customHeight="false" outlineLevel="0" collapsed="false">
      <c r="A80" s="6" t="n">
        <v>79</v>
      </c>
      <c r="B80" s="6" t="n">
        <v>20</v>
      </c>
      <c r="C80" s="6" t="s">
        <v>46</v>
      </c>
      <c r="D80" s="7" t="n">
        <v>45713</v>
      </c>
      <c r="E80" s="6" t="n">
        <f aca="false">YEAR(D80)</f>
        <v>2025</v>
      </c>
      <c r="F80" s="6" t="str">
        <f aca="false">YEAR(D80)&amp;"Q"&amp;ROUNDUP(MONTH(D80)/3,0)</f>
        <v>2025Q1</v>
      </c>
      <c r="G80" s="6" t="str">
        <f aca="false">YEAR(D80)&amp;"H"&amp;IF(MONTH(D80)&lt;=6,1,2)</f>
        <v>2025H1</v>
      </c>
      <c r="H80" s="5" t="s">
        <v>42</v>
      </c>
      <c r="I80" s="6" t="n">
        <v>3</v>
      </c>
      <c r="J80" s="6" t="n">
        <v>2</v>
      </c>
      <c r="K80" s="6" t="n">
        <v>1</v>
      </c>
      <c r="L80" s="6" t="n">
        <v>2</v>
      </c>
      <c r="M80" s="6" t="str">
        <f aca="false">I80&amp;"室"&amp;J80&amp;"厅"&amp;L80&amp;"卫"</f>
        <v>3室2厅2卫</v>
      </c>
      <c r="N80" s="8" t="n">
        <v>109.99</v>
      </c>
      <c r="O80" s="6" t="str">
        <f aca="false">IF(N80&lt;60,"60㎡以下",IF(N80&lt;90,"75-77㎡",IF(N80&lt;100,"94-97㎡",IF(N80&lt;120,"106-117㎡",IF(N80&lt;150,"124㎡","150㎡以上")))))</f>
        <v>106-117㎡</v>
      </c>
      <c r="P80" s="6" t="s">
        <v>49</v>
      </c>
      <c r="Q80" s="6" t="n">
        <v>33</v>
      </c>
      <c r="R80" s="6" t="s">
        <v>58</v>
      </c>
      <c r="S80" s="6" t="str">
        <f aca="false">IF(AND(ISNUMBER(SEARCH("南",R80)),ISNUMBER(SEARCH("北",R80))),"是","否")</f>
        <v>是</v>
      </c>
      <c r="T80" s="6" t="s">
        <v>45</v>
      </c>
      <c r="U80" s="9" t="n">
        <v>172.5</v>
      </c>
      <c r="V80" s="10" t="n">
        <v>15683</v>
      </c>
      <c r="W80" s="10" t="n">
        <f aca="false">ROUND(U80*10000/N80,0)</f>
        <v>15683</v>
      </c>
      <c r="X80" s="11" t="n">
        <f aca="false">W80-V80</f>
        <v>0</v>
      </c>
      <c r="Y80" s="6" t="str">
        <f aca="false">IF(AND(I80=3,N80&gt;=本案估值!$C$7,N80&lt;=本案估值!$C$8,D80&gt;=本案估值!$C$9),"是","否")</f>
        <v>否</v>
      </c>
    </row>
    <row r="81" customFormat="false" ht="15" hidden="false" customHeight="false" outlineLevel="0" collapsed="false">
      <c r="A81" s="13" t="n">
        <v>80</v>
      </c>
      <c r="B81" s="13" t="n">
        <v>20</v>
      </c>
      <c r="C81" s="13" t="s">
        <v>46</v>
      </c>
      <c r="D81" s="14" t="n">
        <v>45704</v>
      </c>
      <c r="E81" s="13" t="n">
        <f aca="false">YEAR(D81)</f>
        <v>2025</v>
      </c>
      <c r="F81" s="13" t="str">
        <f aca="false">YEAR(D81)&amp;"Q"&amp;ROUNDUP(MONTH(D81)/3,0)</f>
        <v>2025Q1</v>
      </c>
      <c r="G81" s="13" t="str">
        <f aca="false">YEAR(D81)&amp;"H"&amp;IF(MONTH(D81)&lt;=6,1,2)</f>
        <v>2025H1</v>
      </c>
      <c r="H81" s="12" t="s">
        <v>57</v>
      </c>
      <c r="I81" s="13" t="n">
        <v>2</v>
      </c>
      <c r="J81" s="13" t="n">
        <v>2</v>
      </c>
      <c r="K81" s="13" t="n">
        <v>1</v>
      </c>
      <c r="L81" s="13" t="n">
        <v>1</v>
      </c>
      <c r="M81" s="13" t="str">
        <f aca="false">I81&amp;"室"&amp;J81&amp;"厅"&amp;L81&amp;"卫"</f>
        <v>2室2厅1卫</v>
      </c>
      <c r="N81" s="15" t="n">
        <v>75.69</v>
      </c>
      <c r="O81" s="13" t="str">
        <f aca="false">IF(N81&lt;60,"60㎡以下",IF(N81&lt;90,"75-77㎡",IF(N81&lt;100,"94-97㎡",IF(N81&lt;120,"106-117㎡",IF(N81&lt;150,"124㎡","150㎡以上")))))</f>
        <v>75-77㎡</v>
      </c>
      <c r="P81" s="13" t="s">
        <v>50</v>
      </c>
      <c r="Q81" s="13" t="n">
        <v>33</v>
      </c>
      <c r="R81" s="13" t="s">
        <v>48</v>
      </c>
      <c r="S81" s="13" t="str">
        <f aca="false">IF(AND(ISNUMBER(SEARCH("南",R81)),ISNUMBER(SEARCH("北",R81))),"是","否")</f>
        <v>否</v>
      </c>
      <c r="T81" s="13" t="s">
        <v>61</v>
      </c>
      <c r="U81" s="16" t="n">
        <v>96</v>
      </c>
      <c r="V81" s="17" t="n">
        <v>12683</v>
      </c>
      <c r="W81" s="17" t="n">
        <f aca="false">ROUND(U81*10000/N81,0)</f>
        <v>12683</v>
      </c>
      <c r="X81" s="18" t="n">
        <f aca="false">W81-V81</f>
        <v>0</v>
      </c>
      <c r="Y81" s="13" t="str">
        <f aca="false">IF(AND(I81=3,N81&gt;=本案估值!$C$7,N81&lt;=本案估值!$C$8,D81&gt;=本案估值!$C$9),"是","否")</f>
        <v>否</v>
      </c>
    </row>
  </sheetData>
  <autoFilter ref="A1:Y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6"/>
    <col collapsed="false" customWidth="true" hidden="false" outlineLevel="0" max="6" min="5" style="0" width="11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21.6" hidden="false" customHeight="false" outlineLevel="0" collapsed="false">
      <c r="A1" s="1" t="s">
        <v>68</v>
      </c>
    </row>
    <row r="2" customFormat="false" ht="15" hidden="false" customHeight="false" outlineLevel="0" collapsed="false">
      <c r="A2" s="19" t="s">
        <v>69</v>
      </c>
    </row>
    <row r="4" customFormat="false" ht="31.5" hidden="false" customHeight="true" outlineLevel="0" collapsed="false">
      <c r="A4" s="4" t="s">
        <v>21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74</v>
      </c>
      <c r="G4" s="4" t="s">
        <v>75</v>
      </c>
      <c r="H4" s="20" t="s">
        <v>76</v>
      </c>
      <c r="I4" s="20" t="s">
        <v>77</v>
      </c>
      <c r="J4" s="20" t="s">
        <v>78</v>
      </c>
    </row>
    <row r="5" customFormat="false" ht="15" hidden="false" customHeight="false" outlineLevel="0" collapsed="false">
      <c r="A5" s="5" t="s">
        <v>79</v>
      </c>
      <c r="B5" s="6" t="n">
        <f aca="false">COUNTIFS(成交明细!$F$2:$F$81,A5)</f>
        <v>7</v>
      </c>
      <c r="C5" s="10" t="n">
        <f aca="false">IFERROR(SUMIFS(成交明细!$U$2:$U$81,成交明细!$F$2:$F$81,A5)*10000/SUMIFS(成交明细!$N$2:$N$81,成交明细!$F$2:$F$81,A5),"-")</f>
        <v>14022.1107454389</v>
      </c>
      <c r="D5" s="10" t="n">
        <f aca="false" t="array" ref="D5:D5">IFERROR(MEDIAN(IF(成交明细!$F$2:$F$81=A5,成交明细!$W$2:$W$81)),"-")</f>
        <v>13903</v>
      </c>
      <c r="E5" s="10" t="n">
        <f aca="false">IFERROR(_xlfn.MINIFS(成交明细!$W$2:$W$81,成交明细!$F$2:$F$81,A5),"-")</f>
        <v>12683</v>
      </c>
      <c r="F5" s="10" t="n">
        <f aca="false">IFERROR(_xlfn.MAXIFS(成交明细!$W$2:$W$81,成交明细!$F$2:$F$81,A5),"-")</f>
        <v>15683</v>
      </c>
      <c r="G5" s="21" t="n">
        <f aca="false">IFERROR(C5/$C$5-1,"-")</f>
        <v>0</v>
      </c>
      <c r="H5" s="6" t="n">
        <f aca="false">COUNTIFS(成交明细!$F$2:$F$81,A5,成交明细!$I$2:$I$81,3,成交明细!$O$2:$O$81,"106-117㎡")</f>
        <v>2</v>
      </c>
      <c r="I5" s="10" t="n">
        <f aca="false" t="array" ref="I5:I5">IFERROR(MEDIAN(IF((成交明细!$F$2:$F$81=A5)*(成交明细!$I$2:$I$81=3)*(成交明细!$O$2:$O$81="106-117㎡"),成交明细!$W$2:$W$81)),"-")</f>
        <v>14559</v>
      </c>
      <c r="J5" s="21" t="n">
        <f aca="false">IFERROR(I5/$I$5-1,"-")</f>
        <v>0</v>
      </c>
    </row>
    <row r="6" customFormat="false" ht="15" hidden="false" customHeight="false" outlineLevel="0" collapsed="false">
      <c r="A6" s="5" t="s">
        <v>80</v>
      </c>
      <c r="B6" s="6" t="n">
        <f aca="false">COUNTIFS(成交明细!$F$2:$F$81,A6)</f>
        <v>7</v>
      </c>
      <c r="C6" s="10" t="n">
        <f aca="false">IFERROR(SUMIFS(成交明细!$U$2:$U$81,成交明细!$F$2:$F$81,A6)*10000/SUMIFS(成交明细!$N$2:$N$81,成交明细!$F$2:$F$81,A6),"-")</f>
        <v>13801.2467913458</v>
      </c>
      <c r="D6" s="10" t="n">
        <f aca="false" t="array" ref="D6:D6">IFERROR(MEDIAN(IF(成交明细!$F$2:$F$81=A6,成交明细!$W$2:$W$81)),"-")</f>
        <v>13874</v>
      </c>
      <c r="E6" s="10" t="n">
        <f aca="false">IFERROR(_xlfn.MINIFS(成交明细!$W$2:$W$81,成交明细!$F$2:$F$81,A6),"-")</f>
        <v>12334</v>
      </c>
      <c r="F6" s="10" t="n">
        <f aca="false">IFERROR(_xlfn.MAXIFS(成交明细!$W$2:$W$81,成交明细!$F$2:$F$81,A6),"-")</f>
        <v>14410</v>
      </c>
      <c r="G6" s="21" t="n">
        <f aca="false">IFERROR(C6/$C$5-1,"-")</f>
        <v>-0.0157511203628815</v>
      </c>
      <c r="H6" s="6" t="n">
        <f aca="false">COUNTIFS(成交明细!$F$2:$F$81,A6,成交明细!$I$2:$I$81,3,成交明细!$O$2:$O$81,"106-117㎡")</f>
        <v>3</v>
      </c>
      <c r="I6" s="10" t="n">
        <f aca="false" t="array" ref="I6:I6">IFERROR(MEDIAN(IF((成交明细!$F$2:$F$81=A6)*(成交明细!$I$2:$I$81=3)*(成交明细!$O$2:$O$81="106-117㎡"),成交明细!$W$2:$W$81)),"-")</f>
        <v>14113</v>
      </c>
      <c r="J6" s="21" t="n">
        <f aca="false">IFERROR(I6/$I$5-1,"-")</f>
        <v>-0.0306339721134693</v>
      </c>
    </row>
    <row r="7" customFormat="false" ht="15" hidden="false" customHeight="false" outlineLevel="0" collapsed="false">
      <c r="A7" s="5" t="s">
        <v>81</v>
      </c>
      <c r="B7" s="6" t="n">
        <f aca="false">COUNTIFS(成交明细!$F$2:$F$81,A7)</f>
        <v>7</v>
      </c>
      <c r="C7" s="10" t="n">
        <f aca="false">IFERROR(SUMIFS(成交明细!$U$2:$U$81,成交明细!$F$2:$F$81,A7)*10000/SUMIFS(成交明细!$N$2:$N$81,成交明细!$F$2:$F$81,A7),"-")</f>
        <v>13300.0842933408</v>
      </c>
      <c r="D7" s="10" t="n">
        <f aca="false" t="array" ref="D7:D7">IFERROR(MEDIAN(IF(成交明细!$F$2:$F$81=A7,成交明细!$W$2:$W$81)),"-")</f>
        <v>13857</v>
      </c>
      <c r="E7" s="10" t="n">
        <f aca="false">IFERROR(_xlfn.MINIFS(成交明细!$W$2:$W$81,成交明细!$F$2:$F$81,A7),"-")</f>
        <v>8043</v>
      </c>
      <c r="F7" s="10" t="n">
        <f aca="false">IFERROR(_xlfn.MAXIFS(成交明细!$W$2:$W$81,成交明细!$F$2:$F$81,A7),"-")</f>
        <v>14519</v>
      </c>
      <c r="G7" s="21" t="n">
        <f aca="false">IFERROR(C7/$C$5-1,"-")</f>
        <v>-0.0514919946936588</v>
      </c>
      <c r="H7" s="6" t="n">
        <f aca="false">COUNTIFS(成交明细!$F$2:$F$81,A7,成交明细!$I$2:$I$81,3,成交明细!$O$2:$O$81,"106-117㎡")</f>
        <v>5</v>
      </c>
      <c r="I7" s="10" t="n">
        <f aca="false" t="array" ref="I7:I7">IFERROR(MEDIAN(IF((成交明细!$F$2:$F$81=A7)*(成交明细!$I$2:$I$81=3)*(成交明细!$O$2:$O$81="106-117㎡"),成交明细!$W$2:$W$81)),"-")</f>
        <v>14113</v>
      </c>
      <c r="J7" s="21" t="n">
        <f aca="false">IFERROR(I7/$I$5-1,"-")</f>
        <v>-0.0306339721134693</v>
      </c>
    </row>
    <row r="8" customFormat="false" ht="15" hidden="false" customHeight="false" outlineLevel="0" collapsed="false">
      <c r="A8" s="5" t="s">
        <v>82</v>
      </c>
      <c r="B8" s="6" t="n">
        <f aca="false">COUNTIFS(成交明细!$F$2:$F$81,A8)</f>
        <v>23</v>
      </c>
      <c r="C8" s="10" t="n">
        <f aca="false">IFERROR(SUMIFS(成交明细!$U$2:$U$81,成交明细!$F$2:$F$81,A8)*10000/SUMIFS(成交明细!$N$2:$N$81,成交明细!$F$2:$F$81,A8),"-")</f>
        <v>11473.1885321778</v>
      </c>
      <c r="D8" s="10" t="n">
        <f aca="false" t="array" ref="D8:D8">IFERROR(MEDIAN(IF(成交明细!$F$2:$F$81=A8,成交明细!$W$2:$W$81)),"-")</f>
        <v>10820</v>
      </c>
      <c r="E8" s="10" t="n">
        <f aca="false">IFERROR(_xlfn.MINIFS(成交明细!$W$2:$W$81,成交明细!$F$2:$F$81,A8),"-")</f>
        <v>9514</v>
      </c>
      <c r="F8" s="10" t="n">
        <f aca="false">IFERROR(_xlfn.MAXIFS(成交明细!$W$2:$W$81,成交明细!$F$2:$F$81,A8),"-")</f>
        <v>14092</v>
      </c>
      <c r="G8" s="21" t="n">
        <f aca="false">IFERROR(C8/$C$5-1,"-")</f>
        <v>-0.181778782063192</v>
      </c>
      <c r="H8" s="6" t="n">
        <f aca="false">COUNTIFS(成交明细!$F$2:$F$81,A8,成交明细!$I$2:$I$81,3,成交明细!$O$2:$O$81,"106-117㎡")</f>
        <v>7</v>
      </c>
      <c r="I8" s="10" t="n">
        <f aca="false" t="array" ref="I8:I8">IFERROR(MEDIAN(IF((成交明细!$F$2:$F$81=A8)*(成交明细!$I$2:$I$81=3)*(成交明细!$O$2:$O$81="106-117㎡"),成交明细!$W$2:$W$81)),"-")</f>
        <v>12323</v>
      </c>
      <c r="J8" s="21" t="n">
        <f aca="false">IFERROR(I8/$I$5-1,"-")</f>
        <v>-0.15358197678412</v>
      </c>
    </row>
    <row r="9" customFormat="false" ht="15" hidden="false" customHeight="false" outlineLevel="0" collapsed="false">
      <c r="A9" s="5" t="s">
        <v>83</v>
      </c>
      <c r="B9" s="6" t="n">
        <f aca="false">COUNTIFS(成交明细!$F$2:$F$81,A9)</f>
        <v>9</v>
      </c>
      <c r="C9" s="10" t="n">
        <f aca="false">IFERROR(SUMIFS(成交明细!$U$2:$U$81,成交明细!$F$2:$F$81,A9)*10000/SUMIFS(成交明细!$N$2:$N$81,成交明细!$F$2:$F$81,A9),"-")</f>
        <v>11172.4471618025</v>
      </c>
      <c r="D9" s="10" t="n">
        <f aca="false" t="array" ref="D9:D9">IFERROR(MEDIAN(IF(成交明细!$F$2:$F$81=A9,成交明细!$W$2:$W$81)),"-")</f>
        <v>11074</v>
      </c>
      <c r="E9" s="10" t="n">
        <f aca="false">IFERROR(_xlfn.MINIFS(成交明细!$W$2:$W$81,成交明细!$F$2:$F$81,A9),"-")</f>
        <v>9137</v>
      </c>
      <c r="F9" s="10" t="n">
        <f aca="false">IFERROR(_xlfn.MAXIFS(成交明细!$W$2:$W$81,成交明细!$F$2:$F$81,A9),"-")</f>
        <v>13090</v>
      </c>
      <c r="G9" s="21" t="n">
        <f aca="false">IFERROR(C9/$C$5-1,"-")</f>
        <v>-0.203226435404046</v>
      </c>
      <c r="H9" s="6" t="n">
        <f aca="false">COUNTIFS(成交明细!$F$2:$F$81,A9,成交明细!$I$2:$I$81,3,成交明细!$O$2:$O$81,"106-117㎡")</f>
        <v>4</v>
      </c>
      <c r="I9" s="10" t="n">
        <f aca="false" t="array" ref="I9:I9">IFERROR(MEDIAN(IF((成交明细!$F$2:$F$81=A9)*(成交明细!$I$2:$I$81=3)*(成交明细!$O$2:$O$81="106-117㎡"),成交明细!$W$2:$W$81)),"-")</f>
        <v>11438.5</v>
      </c>
      <c r="J9" s="21" t="n">
        <f aca="false">IFERROR(I9/$I$5-1,"-")</f>
        <v>-0.214334775740092</v>
      </c>
    </row>
    <row r="10" customFormat="false" ht="15" hidden="false" customHeight="false" outlineLevel="0" collapsed="false">
      <c r="A10" s="5" t="s">
        <v>84</v>
      </c>
      <c r="B10" s="6" t="n">
        <f aca="false">COUNTIFS(成交明细!$F$2:$F$81,A10)</f>
        <v>10</v>
      </c>
      <c r="C10" s="10" t="n">
        <f aca="false">IFERROR(SUMIFS(成交明细!$U$2:$U$81,成交明细!$F$2:$F$81,A10)*10000/SUMIFS(成交明细!$N$2:$N$81,成交明细!$F$2:$F$81,A10),"-")</f>
        <v>11775.7113736003</v>
      </c>
      <c r="D10" s="10" t="n">
        <f aca="false" t="array" ref="D10:D10">IFERROR(MEDIAN(IF(成交明细!$F$2:$F$81=A10,成交明细!$W$2:$W$81)),"-")</f>
        <v>11650.5</v>
      </c>
      <c r="E10" s="10" t="n">
        <f aca="false">IFERROR(_xlfn.MINIFS(成交明细!$W$2:$W$81,成交明细!$F$2:$F$81,A10),"-")</f>
        <v>9879</v>
      </c>
      <c r="F10" s="10" t="n">
        <f aca="false">IFERROR(_xlfn.MAXIFS(成交明细!$W$2:$W$81,成交明细!$F$2:$F$81,A10),"-")</f>
        <v>13516</v>
      </c>
      <c r="G10" s="21" t="n">
        <f aca="false">IFERROR(C10/$C$5-1,"-")</f>
        <v>-0.160204081441111</v>
      </c>
      <c r="H10" s="6" t="n">
        <f aca="false">COUNTIFS(成交明细!$F$2:$F$81,A10,成交明细!$I$2:$I$81,3,成交明细!$O$2:$O$81,"106-117㎡")</f>
        <v>4</v>
      </c>
      <c r="I10" s="10" t="n">
        <f aca="false" t="array" ref="I10:I10">IFERROR(MEDIAN(IF((成交明细!$F$2:$F$81=A10)*(成交明细!$I$2:$I$81=3)*(成交明细!$O$2:$O$81="106-117㎡"),成交明细!$W$2:$W$81)),"-")</f>
        <v>11418.5</v>
      </c>
      <c r="J10" s="21" t="n">
        <f aca="false">IFERROR(I10/$I$5-1,"-")</f>
        <v>-0.215708496462669</v>
      </c>
    </row>
    <row r="11" customFormat="false" ht="15" hidden="false" customHeight="false" outlineLevel="0" collapsed="false">
      <c r="A11" s="5" t="s">
        <v>85</v>
      </c>
      <c r="B11" s="6" t="n">
        <f aca="false">COUNTIFS(成交明细!$F$2:$F$81,A11)</f>
        <v>17</v>
      </c>
      <c r="C11" s="10" t="n">
        <f aca="false">IFERROR(SUMIFS(成交明细!$U$2:$U$81,成交明细!$F$2:$F$81,A11)*10000/SUMIFS(成交明细!$N$2:$N$81,成交明细!$F$2:$F$81,A11),"-")</f>
        <v>11972.6239927932</v>
      </c>
      <c r="D11" s="10" t="n">
        <f aca="false" t="array" ref="D11:D11">IFERROR(MEDIAN(IF(成交明细!$F$2:$F$81=A11,成交明细!$W$2:$W$81)),"-")</f>
        <v>11854</v>
      </c>
      <c r="E11" s="10" t="n">
        <f aca="false">IFERROR(_xlfn.MINIFS(成交明细!$W$2:$W$81,成交明细!$F$2:$F$81,A11),"-")</f>
        <v>7082</v>
      </c>
      <c r="F11" s="10" t="n">
        <f aca="false">IFERROR(_xlfn.MAXIFS(成交明细!$W$2:$W$81,成交明细!$F$2:$F$81,A11),"-")</f>
        <v>14158</v>
      </c>
      <c r="G11" s="21" t="n">
        <f aca="false">IFERROR(C11/$C$5-1,"-")</f>
        <v>-0.146161073026211</v>
      </c>
      <c r="H11" s="6" t="n">
        <f aca="false">COUNTIFS(成交明细!$F$2:$F$81,A11,成交明细!$I$2:$I$81,3,成交明细!$O$2:$O$81,"106-117㎡")</f>
        <v>6</v>
      </c>
      <c r="I11" s="10" t="n">
        <f aca="false" t="array" ref="I11:I11">IFERROR(MEDIAN(IF((成交明细!$F$2:$F$81=A11)*(成交明细!$I$2:$I$81=3)*(成交明细!$O$2:$O$81="106-117㎡"),成交明细!$W$2:$W$81)),"-")</f>
        <v>12293.5</v>
      </c>
      <c r="J11" s="21" t="n">
        <f aca="false">IFERROR(I11/$I$5-1,"-")</f>
        <v>-0.155608214849921</v>
      </c>
    </row>
    <row r="13" customFormat="false" ht="15" hidden="false" customHeight="false" outlineLevel="0" collapsed="false">
      <c r="A13" s="22" t="s">
        <v>86</v>
      </c>
    </row>
    <row r="14" customFormat="false" ht="29.85" hidden="false" customHeight="false" outlineLevel="0" collapsed="false">
      <c r="A14" s="4" t="s">
        <v>22</v>
      </c>
      <c r="B14" s="4" t="s">
        <v>70</v>
      </c>
      <c r="C14" s="4" t="s">
        <v>71</v>
      </c>
      <c r="D14" s="4" t="s">
        <v>72</v>
      </c>
      <c r="E14" s="4" t="s">
        <v>87</v>
      </c>
    </row>
    <row r="15" customFormat="false" ht="15" hidden="false" customHeight="false" outlineLevel="0" collapsed="false">
      <c r="A15" s="5" t="s">
        <v>88</v>
      </c>
      <c r="B15" s="6" t="n">
        <f aca="false">COUNTIFS(成交明细!$G$2:$G$81,A15)</f>
        <v>14</v>
      </c>
      <c r="C15" s="10" t="n">
        <f aca="false">IFERROR(SUMIFS(成交明细!$U$2:$U$81,成交明细!$G$2:$G$81,A15)*10000/SUMIFS(成交明细!$N$2:$N$81,成交明细!$G$2:$G$81,A15),"-")</f>
        <v>13906.9657181748</v>
      </c>
      <c r="D15" s="10" t="n">
        <f aca="false" t="array" ref="D15:D15">IFERROR(MEDIAN(IF(成交明细!$G$2:$G$81=A15,成交明细!$W$2:$W$81)),"-")</f>
        <v>13888.5</v>
      </c>
      <c r="E15" s="21" t="n">
        <f aca="false">IFERROR(D15/$D$15-1,"-")</f>
        <v>0</v>
      </c>
    </row>
    <row r="16" customFormat="false" ht="15" hidden="false" customHeight="false" outlineLevel="0" collapsed="false">
      <c r="A16" s="5" t="s">
        <v>89</v>
      </c>
      <c r="B16" s="6" t="n">
        <f aca="false">COUNTIFS(成交明细!$G$2:$G$81,A16)</f>
        <v>30</v>
      </c>
      <c r="C16" s="10" t="n">
        <f aca="false">IFERROR(SUMIFS(成交明细!$U$2:$U$81,成交明细!$G$2:$G$81,A16)*10000/SUMIFS(成交明细!$N$2:$N$81,成交明细!$G$2:$G$81,A16),"-")</f>
        <v>11914.3003490538</v>
      </c>
      <c r="D16" s="10" t="n">
        <f aca="false" t="array" ref="D16:D16">IFERROR(MEDIAN(IF(成交明细!$G$2:$G$81=A16,成交明细!$W$2:$W$81)),"-")</f>
        <v>11177.5</v>
      </c>
      <c r="E16" s="21" t="n">
        <f aca="false">IFERROR(D16/$D$15-1,"-")</f>
        <v>-0.195197465529035</v>
      </c>
    </row>
    <row r="17" customFormat="false" ht="15" hidden="false" customHeight="false" outlineLevel="0" collapsed="false">
      <c r="A17" s="5" t="s">
        <v>90</v>
      </c>
      <c r="B17" s="6" t="n">
        <f aca="false">COUNTIFS(成交明细!$G$2:$G$81,A17)</f>
        <v>19</v>
      </c>
      <c r="C17" s="10" t="n">
        <f aca="false">IFERROR(SUMIFS(成交明细!$U$2:$U$81,成交明细!$G$2:$G$81,A17)*10000/SUMIFS(成交明细!$N$2:$N$81,成交明细!$G$2:$G$81,A17),"-")</f>
        <v>11499.1606636051</v>
      </c>
      <c r="D17" s="10" t="n">
        <f aca="false" t="array" ref="D17:D17">IFERROR(MEDIAN(IF(成交明细!$G$2:$G$81=A17,成交明细!$W$2:$W$81)),"-")</f>
        <v>11432</v>
      </c>
      <c r="E17" s="21" t="n">
        <f aca="false">IFERROR(D17/$D$15-1,"-")</f>
        <v>-0.176872952442668</v>
      </c>
    </row>
    <row r="18" customFormat="false" ht="15" hidden="false" customHeight="false" outlineLevel="0" collapsed="false">
      <c r="A18" s="5" t="s">
        <v>91</v>
      </c>
      <c r="B18" s="6" t="n">
        <f aca="false">COUNTIFS(成交明细!$G$2:$G$81,A18)</f>
        <v>17</v>
      </c>
      <c r="C18" s="10" t="n">
        <f aca="false">IFERROR(SUMIFS(成交明细!$U$2:$U$81,成交明细!$G$2:$G$81,A18)*10000/SUMIFS(成交明细!$N$2:$N$81,成交明细!$G$2:$G$81,A18),"-")</f>
        <v>11972.6239927932</v>
      </c>
      <c r="D18" s="10" t="n">
        <f aca="false" t="array" ref="D18:D18">IFERROR(MEDIAN(IF(成交明细!$G$2:$G$81=A18,成交明细!$W$2:$W$81)),"-")</f>
        <v>11854</v>
      </c>
      <c r="E18" s="21" t="n">
        <f aca="false">IFERROR(D18/$D$15-1,"-")</f>
        <v>-0.146488101666847</v>
      </c>
    </row>
    <row r="19" customFormat="false" ht="15" hidden="false" customHeight="false" outlineLevel="0" collapsed="false">
      <c r="A19" s="2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2"/>
  </cols>
  <sheetData>
    <row r="1" customFormat="false" ht="21.6" hidden="false" customHeight="false" outlineLevel="0" collapsed="false">
      <c r="A1" s="1" t="s">
        <v>93</v>
      </c>
    </row>
    <row r="2" customFormat="false" ht="15" hidden="false" customHeight="false" outlineLevel="0" collapsed="false">
      <c r="A2" s="19" t="s">
        <v>94</v>
      </c>
    </row>
    <row r="4" customFormat="false" ht="31.5" hidden="false" customHeight="true" outlineLevel="0" collapsed="false">
      <c r="A4" s="4" t="s">
        <v>30</v>
      </c>
      <c r="B4" s="20" t="s">
        <v>95</v>
      </c>
      <c r="C4" s="20" t="s">
        <v>96</v>
      </c>
      <c r="D4" s="20" t="s">
        <v>97</v>
      </c>
      <c r="E4" s="20" t="s">
        <v>98</v>
      </c>
      <c r="F4" s="20" t="s">
        <v>99</v>
      </c>
      <c r="G4" s="20" t="s">
        <v>100</v>
      </c>
      <c r="H4" s="20" t="s">
        <v>101</v>
      </c>
      <c r="I4" s="20" t="s">
        <v>102</v>
      </c>
      <c r="J4" s="20" t="s">
        <v>103</v>
      </c>
    </row>
    <row r="5" customFormat="false" ht="15" hidden="false" customHeight="false" outlineLevel="0" collapsed="false">
      <c r="A5" s="5" t="s">
        <v>104</v>
      </c>
      <c r="B5" s="6" t="n">
        <f aca="false">COUNTIFS(成交明细!$O$2:$O$81,$A5,成交明细!$G$2:$G$81,"2025H1")</f>
        <v>0</v>
      </c>
      <c r="C5" s="10" t="str">
        <f aca="false" t="array" ref="C5:C5">IFERROR(MEDIAN(IF((成交明细!$O$2:$O$81=$A5)*(成交明细!$G$2:$G$81="2025H1"),成交明细!$W$2:$W$81)),"-")</f>
        <v>-</v>
      </c>
      <c r="D5" s="6" t="n">
        <f aca="false">COUNTIFS(成交明细!$O$2:$O$81,$A5,成交明细!$G$2:$G$81,"2025H2")</f>
        <v>1</v>
      </c>
      <c r="E5" s="10" t="n">
        <f aca="false" t="array" ref="E5:E5">IFERROR(MEDIAN(IF((成交明细!$O$2:$O$81=$A5)*(成交明细!$G$2:$G$81="2025H2"),成交明细!$W$2:$W$81)),"-")</f>
        <v>8043</v>
      </c>
      <c r="F5" s="6" t="n">
        <f aca="false">COUNTIFS(成交明细!$O$2:$O$81,$A5,成交明细!$G$2:$G$81,"2026H1")</f>
        <v>0</v>
      </c>
      <c r="G5" s="10" t="str">
        <f aca="false" t="array" ref="G5:G5">IFERROR(MEDIAN(IF((成交明细!$O$2:$O$81=$A5)*(成交明细!$G$2:$G$81="2026H1"),成交明细!$W$2:$W$81)),"-")</f>
        <v>-</v>
      </c>
      <c r="H5" s="6" t="n">
        <f aca="false">COUNTIFS(成交明细!$O$2:$O$81,$A5,成交明细!$G$2:$G$81,"2026H2")</f>
        <v>2</v>
      </c>
      <c r="I5" s="10" t="n">
        <f aca="false" t="array" ref="I5:I5">IFERROR(MEDIAN(IF((成交明细!$O$2:$O$81=$A5)*(成交明细!$G$2:$G$81="2026H2"),成交明细!$W$2:$W$81)),"-")</f>
        <v>7305.5</v>
      </c>
      <c r="J5" s="21" t="str">
        <f aca="false">IFERROR(I5/C5-1,"-")</f>
        <v>-</v>
      </c>
    </row>
    <row r="6" customFormat="false" ht="15" hidden="false" customHeight="false" outlineLevel="0" collapsed="false">
      <c r="A6" s="5" t="s">
        <v>105</v>
      </c>
      <c r="B6" s="6" t="n">
        <f aca="false">COUNTIFS(成交明细!$O$2:$O$81,$A6,成交明细!$G$2:$G$81,"2025H1")</f>
        <v>6</v>
      </c>
      <c r="C6" s="10" t="n">
        <f aca="false" t="array" ref="C6:C6">IFERROR(MEDIAN(IF((成交明细!$O$2:$O$81=$A6)*(成交明细!$G$2:$G$81="2025H1"),成交明细!$W$2:$W$81)),"-")</f>
        <v>13916</v>
      </c>
      <c r="D6" s="6" t="n">
        <f aca="false">COUNTIFS(成交明细!$O$2:$O$81,$A6,成交明细!$G$2:$G$81,"2025H2")</f>
        <v>6</v>
      </c>
      <c r="E6" s="10" t="n">
        <f aca="false" t="array" ref="E6:E6">IFERROR(MEDIAN(IF((成交明细!$O$2:$O$81=$A6)*(成交明细!$G$2:$G$81="2025H2"),成交明细!$W$2:$W$81)),"-")</f>
        <v>10118.5</v>
      </c>
      <c r="F6" s="6" t="n">
        <f aca="false">COUNTIFS(成交明细!$O$2:$O$81,$A6,成交明细!$G$2:$G$81,"2026H1")</f>
        <v>2</v>
      </c>
      <c r="G6" s="10" t="n">
        <f aca="false" t="array" ref="G6:G6">IFERROR(MEDIAN(IF((成交明细!$O$2:$O$81=$A6)*(成交明细!$G$2:$G$81="2026H1"),成交明细!$W$2:$W$81)),"-")</f>
        <v>11348</v>
      </c>
      <c r="H6" s="6" t="n">
        <f aca="false">COUNTIFS(成交明细!$O$2:$O$81,$A6,成交明细!$G$2:$G$81,"2026H2")</f>
        <v>5</v>
      </c>
      <c r="I6" s="10" t="n">
        <f aca="false" t="array" ref="I6:I6">IFERROR(MEDIAN(IF((成交明细!$O$2:$O$81=$A6)*(成交明细!$G$2:$G$81="2026H2"),成交明细!$W$2:$W$81)),"-")</f>
        <v>10867</v>
      </c>
      <c r="J6" s="21" t="n">
        <f aca="false">IFERROR(I6/C6-1,"-")</f>
        <v>-0.219100316182811</v>
      </c>
    </row>
    <row r="7" customFormat="false" ht="15" hidden="false" customHeight="false" outlineLevel="0" collapsed="false">
      <c r="A7" s="5" t="s">
        <v>106</v>
      </c>
      <c r="B7" s="6" t="n">
        <f aca="false">COUNTIFS(成交明细!$O$2:$O$81,$A7,成交明细!$G$2:$G$81,"2025H1")</f>
        <v>3</v>
      </c>
      <c r="C7" s="10" t="n">
        <f aca="false" t="array" ref="C7:C7">IFERROR(MEDIAN(IF((成交明细!$O$2:$O$81=$A7)*(成交明细!$G$2:$G$81="2025H1"),成交明细!$W$2:$W$81)),"-")</f>
        <v>13776</v>
      </c>
      <c r="D7" s="6" t="n">
        <f aca="false">COUNTIFS(成交明细!$O$2:$O$81,$A7,成交明细!$G$2:$G$81,"2025H2")</f>
        <v>10</v>
      </c>
      <c r="E7" s="10" t="n">
        <f aca="false" t="array" ref="E7:E7">IFERROR(MEDIAN(IF((成交明细!$O$2:$O$81=$A7)*(成交明细!$G$2:$G$81="2025H2"),成交明细!$W$2:$W$81)),"-")</f>
        <v>10634</v>
      </c>
      <c r="F7" s="6" t="n">
        <f aca="false">COUNTIFS(成交明细!$O$2:$O$81,$A7,成交明细!$G$2:$G$81,"2026H1")</f>
        <v>7</v>
      </c>
      <c r="G7" s="10" t="n">
        <f aca="false" t="array" ref="G7:G7">IFERROR(MEDIAN(IF((成交明细!$O$2:$O$81=$A7)*(成交明细!$G$2:$G$81="2026H1"),成交明细!$W$2:$W$81)),"-")</f>
        <v>11204</v>
      </c>
      <c r="H7" s="6" t="n">
        <f aca="false">COUNTIFS(成交明细!$O$2:$O$81,$A7,成交明细!$G$2:$G$81,"2026H2")</f>
        <v>3</v>
      </c>
      <c r="I7" s="10" t="n">
        <f aca="false" t="array" ref="I7:I7">IFERROR(MEDIAN(IF((成交明细!$O$2:$O$81=$A7)*(成交明细!$G$2:$G$81="2026H2"),成交明细!$W$2:$W$81)),"-")</f>
        <v>12553</v>
      </c>
      <c r="J7" s="21" t="n">
        <f aca="false">IFERROR(I7/C7-1,"-")</f>
        <v>-0.0887775842044135</v>
      </c>
    </row>
    <row r="8" customFormat="false" ht="15" hidden="false" customHeight="false" outlineLevel="0" collapsed="false">
      <c r="A8" s="5" t="s">
        <v>107</v>
      </c>
      <c r="B8" s="6" t="n">
        <f aca="false">COUNTIFS(成交明细!$O$2:$O$81,$A8,成交明细!$G$2:$G$81,"2025H1")</f>
        <v>5</v>
      </c>
      <c r="C8" s="10" t="n">
        <f aca="false" t="array" ref="C8:C8">IFERROR(MEDIAN(IF((成交明细!$O$2:$O$81=$A8)*(成交明细!$G$2:$G$81="2025H1"),成交明细!$W$2:$W$81)),"-")</f>
        <v>14113</v>
      </c>
      <c r="D8" s="6" t="n">
        <f aca="false">COUNTIFS(成交明细!$O$2:$O$81,$A8,成交明细!$G$2:$G$81,"2025H2")</f>
        <v>12</v>
      </c>
      <c r="E8" s="10" t="n">
        <f aca="false" t="array" ref="E8:E8">IFERROR(MEDIAN(IF((成交明细!$O$2:$O$81=$A8)*(成交明细!$G$2:$G$81="2025H2"),成交明细!$W$2:$W$81)),"-")</f>
        <v>13401</v>
      </c>
      <c r="F8" s="6" t="n">
        <f aca="false">COUNTIFS(成交明细!$O$2:$O$81,$A8,成交明细!$G$2:$G$81,"2026H1")</f>
        <v>8</v>
      </c>
      <c r="G8" s="10" t="n">
        <f aca="false" t="array" ref="G8:G8">IFERROR(MEDIAN(IF((成交明细!$O$2:$O$81=$A8)*(成交明细!$G$2:$G$81="2026H1"),成交明细!$W$2:$W$81)),"-")</f>
        <v>11438.5</v>
      </c>
      <c r="H8" s="6" t="n">
        <f aca="false">COUNTIFS(成交明细!$O$2:$O$81,$A8,成交明细!$G$2:$G$81,"2026H2")</f>
        <v>6</v>
      </c>
      <c r="I8" s="10" t="n">
        <f aca="false" t="array" ref="I8:I8">IFERROR(MEDIAN(IF((成交明细!$O$2:$O$81=$A8)*(成交明细!$G$2:$G$81="2026H2"),成交明细!$W$2:$W$81)),"-")</f>
        <v>12293.5</v>
      </c>
      <c r="J8" s="21" t="n">
        <f aca="false">IFERROR(I8/C8-1,"-")</f>
        <v>-0.128923687380429</v>
      </c>
    </row>
    <row r="9" customFormat="false" ht="15" hidden="false" customHeight="false" outlineLevel="0" collapsed="false">
      <c r="A9" s="5" t="s">
        <v>108</v>
      </c>
      <c r="B9" s="6" t="n">
        <f aca="false">COUNTIFS(成交明细!$O$2:$O$81,$A9,成交明细!$G$2:$G$81,"2025H1")</f>
        <v>0</v>
      </c>
      <c r="C9" s="10" t="str">
        <f aca="false" t="array" ref="C9:C9">IFERROR(MEDIAN(IF((成交明细!$O$2:$O$81=$A9)*(成交明细!$G$2:$G$81="2025H1"),成交明细!$W$2:$W$81)),"-")</f>
        <v>-</v>
      </c>
      <c r="D9" s="6" t="n">
        <f aca="false">COUNTIFS(成交明细!$O$2:$O$81,$A9,成交明细!$G$2:$G$81,"2025H2")</f>
        <v>1</v>
      </c>
      <c r="E9" s="10" t="n">
        <f aca="false" t="array" ref="E9:E9">IFERROR(MEDIAN(IF((成交明细!$O$2:$O$81=$A9)*(成交明细!$G$2:$G$81="2025H2"),成交明细!$W$2:$W$81)),"-")</f>
        <v>13516</v>
      </c>
      <c r="F9" s="6" t="n">
        <f aca="false">COUNTIFS(成交明细!$O$2:$O$81,$A9,成交明细!$G$2:$G$81,"2026H1")</f>
        <v>2</v>
      </c>
      <c r="G9" s="10" t="n">
        <f aca="false" t="array" ref="G9:G9">IFERROR(MEDIAN(IF((成交明细!$O$2:$O$81=$A9)*(成交明细!$G$2:$G$81="2026H1"),成交明细!$W$2:$W$81)),"-")</f>
        <v>13234.5</v>
      </c>
      <c r="H9" s="6" t="n">
        <f aca="false">COUNTIFS(成交明细!$O$2:$O$81,$A9,成交明细!$G$2:$G$81,"2026H2")</f>
        <v>0</v>
      </c>
      <c r="I9" s="10" t="str">
        <f aca="false" t="array" ref="I9:I9">IFERROR(MEDIAN(IF((成交明细!$O$2:$O$81=$A9)*(成交明细!$G$2:$G$81="2026H2"),成交明细!$W$2:$W$81)),"-")</f>
        <v>-</v>
      </c>
      <c r="J9" s="21" t="str">
        <f aca="false">IFERROR(I9/C9-1,"-")</f>
        <v>-</v>
      </c>
    </row>
    <row r="10" customFormat="false" ht="15" hidden="false" customHeight="false" outlineLevel="0" collapsed="false">
      <c r="A10" s="5" t="s">
        <v>109</v>
      </c>
      <c r="B10" s="6" t="n">
        <f aca="false">COUNTIFS(成交明细!$O$2:$O$81,$A10,成交明细!$G$2:$G$81,"2025H1")</f>
        <v>0</v>
      </c>
      <c r="C10" s="10" t="str">
        <f aca="false" t="array" ref="C10:C10">IFERROR(MEDIAN(IF((成交明细!$O$2:$O$81=$A10)*(成交明细!$G$2:$G$81="2025H1"),成交明细!$W$2:$W$81)),"-")</f>
        <v>-</v>
      </c>
      <c r="D10" s="6" t="n">
        <f aca="false">COUNTIFS(成交明细!$O$2:$O$81,$A10,成交明细!$G$2:$G$81,"2025H2")</f>
        <v>0</v>
      </c>
      <c r="E10" s="10" t="str">
        <f aca="false" t="array" ref="E10:E10">IFERROR(MEDIAN(IF((成交明细!$O$2:$O$81=$A10)*(成交明细!$G$2:$G$81="2025H2"),成交明细!$W$2:$W$81)),"-")</f>
        <v>-</v>
      </c>
      <c r="F10" s="6" t="n">
        <f aca="false">COUNTIFS(成交明细!$O$2:$O$81,$A10,成交明细!$G$2:$G$81,"2026H1")</f>
        <v>0</v>
      </c>
      <c r="G10" s="10" t="str">
        <f aca="false" t="array" ref="G10:G10">IFERROR(MEDIAN(IF((成交明细!$O$2:$O$81=$A10)*(成交明细!$G$2:$G$81="2026H1"),成交明细!$W$2:$W$81)),"-")</f>
        <v>-</v>
      </c>
      <c r="H10" s="6" t="n">
        <f aca="false">COUNTIFS(成交明细!$O$2:$O$81,$A10,成交明细!$G$2:$G$81,"2026H2")</f>
        <v>1</v>
      </c>
      <c r="I10" s="10" t="n">
        <f aca="false" t="array" ref="I10:I10">IFERROR(MEDIAN(IF((成交明细!$O$2:$O$81=$A10)*(成交明细!$G$2:$G$81="2026H2"),成交明细!$W$2:$W$81)),"-")</f>
        <v>14158</v>
      </c>
      <c r="J10" s="21" t="str">
        <f aca="false">IFERROR(I10/C10-1,"-")</f>
        <v>-</v>
      </c>
    </row>
    <row r="13" customFormat="false" ht="15" hidden="false" customHeight="false" outlineLevel="0" collapsed="false">
      <c r="A13" s="22" t="s">
        <v>110</v>
      </c>
    </row>
    <row r="14" customFormat="false" ht="29.85" hidden="false" customHeight="false" outlineLevel="0" collapsed="false">
      <c r="A14" s="4" t="s">
        <v>111</v>
      </c>
      <c r="B14" s="4" t="s">
        <v>112</v>
      </c>
      <c r="C14" s="4" t="s">
        <v>113</v>
      </c>
      <c r="D14" s="4" t="s">
        <v>72</v>
      </c>
    </row>
    <row r="15" customFormat="false" ht="15" hidden="false" customHeight="false" outlineLevel="0" collapsed="false">
      <c r="A15" s="6" t="s">
        <v>34</v>
      </c>
      <c r="B15" s="6" t="s">
        <v>114</v>
      </c>
      <c r="C15" s="6" t="n">
        <f aca="false">COUNTIFS(成交明细!$O$2:$O$81,"106-117㎡",成交明细!$I$2:$I$81,3,成交明细!$S$2:$S$81,B15)</f>
        <v>9</v>
      </c>
      <c r="D15" s="10" t="n">
        <f aca="false" t="array" ref="D15:D15">IFERROR(MEDIAN(IF((成交明细!$O$2:$O$81="106-117㎡")*(成交明细!$I$2:$I$81=3)*(成交明细!$S$2:$S$81=B15),成交明细!$W$2:$W$81)),"-")</f>
        <v>12503</v>
      </c>
    </row>
    <row r="16" customFormat="false" ht="15" hidden="false" customHeight="false" outlineLevel="0" collapsed="false">
      <c r="A16" s="6" t="s">
        <v>34</v>
      </c>
      <c r="B16" s="6" t="s">
        <v>115</v>
      </c>
      <c r="C16" s="6" t="n">
        <f aca="false">COUNTIFS(成交明细!$O$2:$O$81,"106-117㎡",成交明细!$I$2:$I$81,3,成交明细!$S$2:$S$81,B16)</f>
        <v>22</v>
      </c>
      <c r="D16" s="10" t="n">
        <f aca="false" t="array" ref="D16:D16">IFERROR(MEDIAN(IF((成交明细!$O$2:$O$81="106-117㎡")*(成交明细!$I$2:$I$81=3)*(成交明细!$S$2:$S$81=B16),成交明细!$W$2:$W$81)),"-")</f>
        <v>12627.5</v>
      </c>
    </row>
    <row r="17" customFormat="false" ht="15" hidden="false" customHeight="false" outlineLevel="0" collapsed="false">
      <c r="A17" s="6" t="s">
        <v>31</v>
      </c>
      <c r="B17" s="6" t="s">
        <v>43</v>
      </c>
      <c r="C17" s="6" t="n">
        <f aca="false">COUNTIFS(成交明细!$O$2:$O$81,"106-117㎡",成交明细!$I$2:$I$81,3,成交明细!$P$2:$P$81,B17)</f>
        <v>11</v>
      </c>
      <c r="D17" s="10" t="n">
        <f aca="false" t="array" ref="D17:D17">IFERROR(MEDIAN(IF((成交明细!$O$2:$O$81="106-117㎡")*(成交明细!$I$2:$I$81=3)*(成交明细!$P$2:$P$81=B17),成交明细!$W$2:$W$81)),"-")</f>
        <v>12227</v>
      </c>
    </row>
    <row r="18" customFormat="false" ht="15" hidden="false" customHeight="false" outlineLevel="0" collapsed="false">
      <c r="A18" s="6" t="s">
        <v>31</v>
      </c>
      <c r="B18" s="6" t="s">
        <v>49</v>
      </c>
      <c r="C18" s="6" t="n">
        <f aca="false">COUNTIFS(成交明细!$O$2:$O$81,"106-117㎡",成交明细!$I$2:$I$81,3,成交明细!$P$2:$P$81,B18)</f>
        <v>12</v>
      </c>
      <c r="D18" s="10" t="n">
        <f aca="false" t="array" ref="D18:D18">IFERROR(MEDIAN(IF((成交明细!$O$2:$O$81="106-117㎡")*(成交明细!$I$2:$I$81=3)*(成交明细!$P$2:$P$81=B18),成交明细!$W$2:$W$81)),"-")</f>
        <v>13151</v>
      </c>
    </row>
    <row r="19" customFormat="false" ht="15" hidden="false" customHeight="false" outlineLevel="0" collapsed="false">
      <c r="A19" s="6" t="s">
        <v>31</v>
      </c>
      <c r="B19" s="6" t="s">
        <v>50</v>
      </c>
      <c r="C19" s="6" t="n">
        <f aca="false">COUNTIFS(成交明细!$O$2:$O$81,"106-117㎡",成交明细!$I$2:$I$81,3,成交明细!$P$2:$P$81,B19)</f>
        <v>8</v>
      </c>
      <c r="D19" s="10" t="n">
        <f aca="false" t="array" ref="D19:D19">IFERROR(MEDIAN(IF((成交明细!$O$2:$O$81="106-117㎡")*(成交明细!$I$2:$I$81=3)*(成交明细!$P$2:$P$81=B19),成交明细!$W$2:$W$81)),"-")</f>
        <v>12355</v>
      </c>
    </row>
    <row r="21" customFormat="false" ht="15" hidden="false" customHeight="false" outlineLevel="0" collapsed="false">
      <c r="A21" s="19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117</v>
      </c>
    </row>
    <row r="2" customFormat="false" ht="15" hidden="false" customHeight="false" outlineLevel="0" collapsed="false">
      <c r="A2" s="19" t="s">
        <v>118</v>
      </c>
    </row>
    <row r="4" customFormat="false" ht="15" hidden="false" customHeight="false" outlineLevel="0" collapsed="false">
      <c r="B4" s="22" t="s">
        <v>119</v>
      </c>
    </row>
    <row r="5" customFormat="false" ht="15" hidden="false" customHeight="false" outlineLevel="0" collapsed="false">
      <c r="B5" s="24" t="s">
        <v>120</v>
      </c>
      <c r="C5" s="25" t="n">
        <v>110</v>
      </c>
      <c r="D5" s="26" t="s">
        <v>121</v>
      </c>
    </row>
    <row r="6" customFormat="false" ht="15" hidden="false" customHeight="false" outlineLevel="0" collapsed="false">
      <c r="B6" s="24" t="s">
        <v>122</v>
      </c>
      <c r="C6" s="27" t="s">
        <v>123</v>
      </c>
      <c r="D6" s="26" t="s">
        <v>124</v>
      </c>
    </row>
    <row r="7" customFormat="false" ht="15" hidden="false" customHeight="false" outlineLevel="0" collapsed="false">
      <c r="B7" s="24" t="s">
        <v>125</v>
      </c>
      <c r="C7" s="28" t="n">
        <v>105</v>
      </c>
      <c r="D7" s="26" t="s">
        <v>126</v>
      </c>
    </row>
    <row r="8" customFormat="false" ht="15" hidden="false" customHeight="false" outlineLevel="0" collapsed="false">
      <c r="B8" s="24" t="s">
        <v>127</v>
      </c>
      <c r="C8" s="28" t="n">
        <v>117</v>
      </c>
      <c r="D8" s="29"/>
    </row>
    <row r="9" customFormat="false" ht="15" hidden="false" customHeight="false" outlineLevel="0" collapsed="false">
      <c r="B9" s="24" t="s">
        <v>128</v>
      </c>
      <c r="C9" s="30" t="n">
        <v>46082</v>
      </c>
      <c r="D9" s="26" t="s">
        <v>129</v>
      </c>
    </row>
    <row r="10" customFormat="false" ht="15" hidden="false" customHeight="false" outlineLevel="0" collapsed="false">
      <c r="B10" s="24" t="s">
        <v>130</v>
      </c>
      <c r="C10" s="30" t="n">
        <v>46204</v>
      </c>
      <c r="D10" s="26" t="s">
        <v>131</v>
      </c>
    </row>
    <row r="12" customFormat="false" ht="15" hidden="false" customHeight="false" outlineLevel="0" collapsed="false">
      <c r="B12" s="22" t="s">
        <v>132</v>
      </c>
    </row>
    <row r="13" customFormat="false" ht="15" hidden="false" customHeight="false" outlineLevel="0" collapsed="false">
      <c r="B13" s="24" t="s">
        <v>133</v>
      </c>
      <c r="C13" s="31" t="n">
        <f aca="false">COUNTIFS(成交明细!$Y$2:$Y$81,"是")</f>
        <v>14</v>
      </c>
    </row>
    <row r="14" customFormat="false" ht="15" hidden="false" customHeight="false" outlineLevel="0" collapsed="false">
      <c r="B14" s="24" t="s">
        <v>134</v>
      </c>
      <c r="C14" s="10" t="n">
        <f aca="false">IFERROR(AVERAGEIFS(成交明细!$W$2:$W$81,成交明细!$Y$2:$Y$81,"是"),"-")</f>
        <v>11640.6428571429</v>
      </c>
    </row>
    <row r="15" customFormat="false" ht="15" hidden="false" customHeight="false" outlineLevel="0" collapsed="false">
      <c r="B15" s="24" t="s">
        <v>135</v>
      </c>
      <c r="C15" s="10" t="n">
        <f aca="false" t="array" ref="C15:C15">MEDIAN(IF(成交明细!$Y$2:$Y$81="是",成交明细!$W$2:$W$81))</f>
        <v>11939.5</v>
      </c>
    </row>
    <row r="16" customFormat="false" ht="15" hidden="false" customHeight="false" outlineLevel="0" collapsed="false">
      <c r="B16" s="24" t="s">
        <v>136</v>
      </c>
      <c r="C16" s="10" t="n">
        <f aca="false" t="array" ref="C16:C16">PERCENTILE(IF(成交明细!$Y$2:$Y$81="是",成交明细!$W$2:$W$81),0.25)</f>
        <v>11124</v>
      </c>
    </row>
    <row r="17" customFormat="false" ht="15" hidden="false" customHeight="false" outlineLevel="0" collapsed="false">
      <c r="B17" s="24" t="s">
        <v>137</v>
      </c>
      <c r="C17" s="10" t="n">
        <f aca="false" t="array" ref="C17:C17">PERCENTILE(IF(成交明细!$Y$2:$Y$81="是",成交明细!$W$2:$W$81),0.75)</f>
        <v>12405.5</v>
      </c>
    </row>
    <row r="18" customFormat="false" ht="15" hidden="false" customHeight="false" outlineLevel="0" collapsed="false">
      <c r="B18" s="24" t="s">
        <v>138</v>
      </c>
      <c r="C18" s="31" t="n">
        <f aca="false">COUNTIFS(成交明细!$Y$2:$Y$81,"是",成交明细!$D$2:$D$81,"&gt;="&amp;C10)</f>
        <v>6</v>
      </c>
    </row>
    <row r="19" customFormat="false" ht="15" hidden="false" customHeight="false" outlineLevel="0" collapsed="false">
      <c r="B19" s="24" t="s">
        <v>139</v>
      </c>
      <c r="C19" s="10" t="n">
        <f aca="false">IFERROR(AVERAGEIFS(成交明细!$W$2:$W$81,成交明细!$Y$2:$Y$81,"是",成交明细!$D$2:$D$81,"&gt;="&amp;C10),"-")</f>
        <v>12172.6666666667</v>
      </c>
    </row>
    <row r="21" customFormat="false" ht="15" hidden="false" customHeight="false" outlineLevel="0" collapsed="false">
      <c r="B21" s="22" t="s">
        <v>140</v>
      </c>
    </row>
    <row r="22" customFormat="false" ht="15" hidden="false" customHeight="false" outlineLevel="0" collapsed="false">
      <c r="B22" s="24" t="s">
        <v>141</v>
      </c>
      <c r="C22" s="32" t="n">
        <v>0.01</v>
      </c>
      <c r="D22" s="26" t="s">
        <v>142</v>
      </c>
    </row>
    <row r="23" customFormat="false" ht="15" hidden="false" customHeight="false" outlineLevel="0" collapsed="false">
      <c r="B23" s="24" t="s">
        <v>143</v>
      </c>
      <c r="C23" s="32" t="n">
        <v>0.01</v>
      </c>
      <c r="D23" s="26" t="s">
        <v>144</v>
      </c>
    </row>
    <row r="24" customFormat="false" ht="15" hidden="false" customHeight="false" outlineLevel="0" collapsed="false">
      <c r="B24" s="24" t="s">
        <v>145</v>
      </c>
      <c r="C24" s="32" t="n">
        <v>0</v>
      </c>
      <c r="D24" s="26" t="s">
        <v>146</v>
      </c>
    </row>
    <row r="25" customFormat="false" ht="15" hidden="false" customHeight="false" outlineLevel="0" collapsed="false">
      <c r="B25" s="24" t="s">
        <v>147</v>
      </c>
      <c r="C25" s="33" t="n">
        <f aca="false">C22+C23+C24</f>
        <v>0.02</v>
      </c>
    </row>
    <row r="27" customFormat="false" ht="15" hidden="false" customHeight="false" outlineLevel="0" collapsed="false">
      <c r="B27" s="22" t="s">
        <v>148</v>
      </c>
    </row>
    <row r="28" customFormat="false" ht="15" hidden="false" customHeight="false" outlineLevel="0" collapsed="false">
      <c r="B28" s="4" t="s">
        <v>149</v>
      </c>
      <c r="C28" s="4" t="s">
        <v>150</v>
      </c>
      <c r="D28" s="4" t="s">
        <v>151</v>
      </c>
    </row>
    <row r="29" customFormat="false" ht="15" hidden="false" customHeight="false" outlineLevel="0" collapsed="false">
      <c r="B29" s="6" t="s">
        <v>152</v>
      </c>
      <c r="C29" s="10" t="n">
        <f aca="false">IFERROR(ROUND(C16*(1+$C$25),0),"-")</f>
        <v>11346</v>
      </c>
      <c r="D29" s="9" t="n">
        <f aca="false">IFERROR(C29*$C$5/10000,"-")</f>
        <v>124.806</v>
      </c>
    </row>
    <row r="30" customFormat="false" ht="15" hidden="false" customHeight="false" outlineLevel="0" collapsed="false">
      <c r="B30" s="34" t="s">
        <v>153</v>
      </c>
      <c r="C30" s="35" t="n">
        <f aca="false">IFERROR(ROUND(C15*(1+$C$25),0),"-")</f>
        <v>12178</v>
      </c>
      <c r="D30" s="36" t="n">
        <f aca="false">IFERROR(C30*$C$5/10000,"-")</f>
        <v>133.958</v>
      </c>
    </row>
    <row r="31" customFormat="false" ht="15" hidden="false" customHeight="false" outlineLevel="0" collapsed="false">
      <c r="B31" s="6" t="s">
        <v>154</v>
      </c>
      <c r="C31" s="10" t="n">
        <f aca="false">IFERROR(ROUND(C17*(1+$C$25),0),"-")</f>
        <v>12654</v>
      </c>
      <c r="D31" s="9" t="n">
        <f aca="false">IFERROR(C31*$C$5/10000,"-")</f>
        <v>139.194</v>
      </c>
    </row>
    <row r="32" customFormat="false" ht="15" hidden="false" customHeight="false" outlineLevel="0" collapsed="false">
      <c r="B32" s="6" t="s">
        <v>155</v>
      </c>
      <c r="C32" s="10" t="n">
        <f aca="false">IFERROR(ROUND(C19*(1+$C$25),0),"-")</f>
        <v>12416</v>
      </c>
      <c r="D32" s="9" t="n">
        <f aca="false">IFERROR(C32*$C$5/10000,"-")</f>
        <v>136.576</v>
      </c>
    </row>
    <row r="34" customFormat="false" ht="15" hidden="false" customHeight="false" outlineLevel="0" collapsed="false">
      <c r="B34" s="22" t="s">
        <v>156</v>
      </c>
    </row>
    <row r="35" customFormat="false" ht="15" hidden="false" customHeight="false" outlineLevel="0" collapsed="false">
      <c r="B35" s="24" t="s">
        <v>157</v>
      </c>
      <c r="C35" s="32" t="n">
        <v>0.04</v>
      </c>
      <c r="D35" s="26" t="s">
        <v>158</v>
      </c>
    </row>
    <row r="36" customFormat="false" ht="15" hidden="false" customHeight="false" outlineLevel="0" collapsed="false">
      <c r="B36" s="22" t="s">
        <v>159</v>
      </c>
      <c r="C36" s="36" t="n">
        <f aca="false">ROUND(D30*(1+C35),1)</f>
        <v>139.3</v>
      </c>
      <c r="D36" s="26" t="s">
        <v>160</v>
      </c>
    </row>
    <row r="37" customFormat="false" ht="15" hidden="false" customHeight="false" outlineLevel="0" collapsed="false">
      <c r="B37" s="22" t="s">
        <v>161</v>
      </c>
      <c r="C37" s="36" t="n">
        <f aca="false">D30</f>
        <v>133.958</v>
      </c>
      <c r="D37" s="26" t="s">
        <v>162</v>
      </c>
    </row>
    <row r="38" customFormat="false" ht="15" hidden="false" customHeight="false" outlineLevel="0" collapsed="false">
      <c r="B38" s="22" t="s">
        <v>163</v>
      </c>
      <c r="C38" s="36" t="n">
        <f aca="false">D29</f>
        <v>124.806</v>
      </c>
      <c r="D38" s="26" t="s">
        <v>164</v>
      </c>
    </row>
    <row r="40" customFormat="false" ht="15" hidden="false" customHeight="false" outlineLevel="0" collapsed="false">
      <c r="B40" s="22" t="s">
        <v>165</v>
      </c>
    </row>
    <row r="41" customFormat="false" ht="15" hidden="false" customHeight="false" outlineLevel="0" collapsed="false">
      <c r="B41" s="4" t="s">
        <v>19</v>
      </c>
      <c r="C41" s="4" t="s">
        <v>166</v>
      </c>
      <c r="D41" s="4" t="s">
        <v>31</v>
      </c>
      <c r="E41" s="4" t="s">
        <v>33</v>
      </c>
      <c r="F41" s="4" t="s">
        <v>9</v>
      </c>
      <c r="G41" s="4" t="s">
        <v>151</v>
      </c>
      <c r="H41" s="4" t="s">
        <v>150</v>
      </c>
    </row>
    <row r="42" customFormat="false" ht="15" hidden="false" customHeight="false" outlineLevel="0" collapsed="false">
      <c r="B42" s="37" t="n">
        <f aca="false">成交明细!D2</f>
        <v>46275</v>
      </c>
      <c r="C42" s="38" t="n">
        <f aca="false">成交明细!N2</f>
        <v>113.37</v>
      </c>
      <c r="D42" s="39" t="str">
        <f aca="false">成交明细!P2</f>
        <v>高</v>
      </c>
      <c r="E42" s="39" t="str">
        <f aca="false">成交明细!R2</f>
        <v>东南</v>
      </c>
      <c r="F42" s="39" t="str">
        <f aca="false">成交明细!T2</f>
        <v>有装修</v>
      </c>
      <c r="G42" s="40" t="n">
        <f aca="false">成交明细!U2</f>
        <v>137</v>
      </c>
      <c r="H42" s="41" t="n">
        <f aca="false">成交明细!W2</f>
        <v>12084</v>
      </c>
    </row>
    <row r="43" customFormat="false" ht="15" hidden="false" customHeight="false" outlineLevel="0" collapsed="false">
      <c r="B43" s="37" t="n">
        <f aca="false">成交明细!D4</f>
        <v>46262</v>
      </c>
      <c r="C43" s="38" t="n">
        <f aca="false">成交明细!N4</f>
        <v>109.99</v>
      </c>
      <c r="D43" s="39" t="str">
        <f aca="false">成交明细!P4</f>
        <v>中</v>
      </c>
      <c r="E43" s="39" t="str">
        <f aca="false">成交明细!R4</f>
        <v>南</v>
      </c>
      <c r="F43" s="39" t="str">
        <f aca="false">成交明细!T4</f>
        <v>有装修</v>
      </c>
      <c r="G43" s="40" t="n">
        <f aca="false">成交明细!U4</f>
        <v>140</v>
      </c>
      <c r="H43" s="41" t="n">
        <f aca="false">成交明细!W4</f>
        <v>12728</v>
      </c>
    </row>
    <row r="44" customFormat="false" ht="15" hidden="false" customHeight="false" outlineLevel="0" collapsed="false">
      <c r="B44" s="37" t="n">
        <f aca="false">成交明细!D5</f>
        <v>46261</v>
      </c>
      <c r="C44" s="38" t="n">
        <f aca="false">成交明细!N5</f>
        <v>115.97</v>
      </c>
      <c r="D44" s="39" t="str">
        <f aca="false">成交明细!P5</f>
        <v>低</v>
      </c>
      <c r="E44" s="39" t="str">
        <f aca="false">成交明细!R5</f>
        <v>南,南,北</v>
      </c>
      <c r="F44" s="39" t="str">
        <f aca="false">成交明细!T5</f>
        <v>有装修</v>
      </c>
      <c r="G44" s="40" t="n">
        <f aca="false">成交明细!U5</f>
        <v>145</v>
      </c>
      <c r="H44" s="41" t="n">
        <f aca="false">成交明细!W5</f>
        <v>12503</v>
      </c>
    </row>
    <row r="45" customFormat="false" ht="15" hidden="false" customHeight="false" outlineLevel="0" collapsed="false">
      <c r="B45" s="37" t="n">
        <f aca="false">成交明细!D6</f>
        <v>46259</v>
      </c>
      <c r="C45" s="38" t="n">
        <f aca="false">成交明细!N6</f>
        <v>109.99</v>
      </c>
      <c r="D45" s="39" t="str">
        <f aca="false">成交明细!P6</f>
        <v>高</v>
      </c>
      <c r="E45" s="39" t="str">
        <f aca="false">成交明细!R6</f>
        <v>南</v>
      </c>
      <c r="F45" s="39" t="str">
        <f aca="false">成交明细!T6</f>
        <v>户型图</v>
      </c>
      <c r="G45" s="40" t="n">
        <f aca="false">成交明细!U6</f>
        <v>124</v>
      </c>
      <c r="H45" s="41" t="n">
        <f aca="false">成交明细!W6</f>
        <v>11274</v>
      </c>
    </row>
    <row r="46" customFormat="false" ht="15" hidden="false" customHeight="false" outlineLevel="0" collapsed="false">
      <c r="B46" s="37" t="n">
        <f aca="false">成交明细!D14</f>
        <v>46228</v>
      </c>
      <c r="C46" s="38" t="n">
        <f aca="false">成交明细!N14</f>
        <v>115.97</v>
      </c>
      <c r="D46" s="39" t="str">
        <f aca="false">成交明细!P14</f>
        <v>中</v>
      </c>
      <c r="E46" s="39" t="str">
        <f aca="false">成交明细!R14</f>
        <v>南</v>
      </c>
      <c r="F46" s="39" t="str">
        <f aca="false">成交明细!T14</f>
        <v>毛坯</v>
      </c>
      <c r="G46" s="40" t="n">
        <f aca="false">成交明细!U14</f>
        <v>146.5</v>
      </c>
      <c r="H46" s="41" t="n">
        <f aca="false">成交明细!W14</f>
        <v>12633</v>
      </c>
    </row>
    <row r="47" customFormat="false" ht="15" hidden="false" customHeight="false" outlineLevel="0" collapsed="false">
      <c r="B47" s="37" t="n">
        <f aca="false">成交明细!D18</f>
        <v>46208</v>
      </c>
      <c r="C47" s="38" t="n">
        <f aca="false">成交明细!N18</f>
        <v>116.39</v>
      </c>
      <c r="D47" s="39" t="str">
        <f aca="false">成交明细!P18</f>
        <v>中</v>
      </c>
      <c r="E47" s="39" t="str">
        <f aca="false">成交明细!R18</f>
        <v>南</v>
      </c>
      <c r="F47" s="39" t="str">
        <f aca="false">成交明细!T18</f>
        <v>有装修</v>
      </c>
      <c r="G47" s="40" t="n">
        <f aca="false">成交明细!U18</f>
        <v>137.5</v>
      </c>
      <c r="H47" s="41" t="n">
        <f aca="false">成交明细!W18</f>
        <v>11814</v>
      </c>
    </row>
    <row r="48" customFormat="false" ht="15" hidden="false" customHeight="false" outlineLevel="0" collapsed="false">
      <c r="B48" s="37" t="n">
        <f aca="false">成交明细!D20</f>
        <v>46187</v>
      </c>
      <c r="C48" s="38" t="n">
        <f aca="false">成交明细!N20</f>
        <v>116.4</v>
      </c>
      <c r="D48" s="39" t="str">
        <f aca="false">成交明细!P20</f>
        <v>中</v>
      </c>
      <c r="E48" s="39" t="str">
        <f aca="false">成交明细!R20</f>
        <v>南,北</v>
      </c>
      <c r="F48" s="39" t="str">
        <f aca="false">成交明细!T20</f>
        <v>有装修</v>
      </c>
      <c r="G48" s="40" t="n">
        <f aca="false">成交明细!U20</f>
        <v>141</v>
      </c>
      <c r="H48" s="41" t="n">
        <f aca="false">成交明细!W20</f>
        <v>12113</v>
      </c>
    </row>
    <row r="49" customFormat="false" ht="15" hidden="false" customHeight="false" outlineLevel="0" collapsed="false">
      <c r="B49" s="37" t="n">
        <f aca="false">成交明细!D22</f>
        <v>46173</v>
      </c>
      <c r="C49" s="38" t="n">
        <f aca="false">成交明细!N22</f>
        <v>114.65</v>
      </c>
      <c r="D49" s="39" t="str">
        <f aca="false">成交明细!P22</f>
        <v>高</v>
      </c>
      <c r="E49" s="39" t="str">
        <f aca="false">成交明细!R22</f>
        <v>南,北</v>
      </c>
      <c r="F49" s="39" t="str">
        <f aca="false">成交明细!T22</f>
        <v>有装修</v>
      </c>
      <c r="G49" s="40" t="n">
        <f aca="false">成交明细!U22</f>
        <v>123.5</v>
      </c>
      <c r="H49" s="41" t="n">
        <f aca="false">成交明细!W22</f>
        <v>10772</v>
      </c>
    </row>
    <row r="50" customFormat="false" ht="15" hidden="false" customHeight="false" outlineLevel="0" collapsed="false">
      <c r="B50" s="37" t="n">
        <f aca="false">成交明细!D23</f>
        <v>46158</v>
      </c>
      <c r="C50" s="38" t="n">
        <f aca="false">成交明细!N23</f>
        <v>116.04</v>
      </c>
      <c r="D50" s="39" t="str">
        <f aca="false">成交明细!P23</f>
        <v>中</v>
      </c>
      <c r="E50" s="39" t="str">
        <f aca="false">成交明细!R23</f>
        <v>东南</v>
      </c>
      <c r="F50" s="39" t="str">
        <f aca="false">成交明细!T23</f>
        <v>毛坯</v>
      </c>
      <c r="G50" s="40" t="n">
        <f aca="false">成交明细!U23</f>
        <v>140</v>
      </c>
      <c r="H50" s="41" t="n">
        <f aca="false">成交明细!W23</f>
        <v>12065</v>
      </c>
    </row>
    <row r="51" customFormat="false" ht="15" hidden="false" customHeight="false" outlineLevel="0" collapsed="false">
      <c r="B51" s="37" t="n">
        <f aca="false">成交明细!D27</f>
        <v>46120</v>
      </c>
      <c r="C51" s="38" t="n">
        <f aca="false">成交明细!N27</f>
        <v>113.37</v>
      </c>
      <c r="D51" s="39" t="str">
        <f aca="false">成交明细!P27</f>
        <v>低</v>
      </c>
      <c r="E51" s="39" t="str">
        <f aca="false">成交明细!R27</f>
        <v>南</v>
      </c>
      <c r="F51" s="39" t="str">
        <f aca="false">成交明细!T27</f>
        <v>有装修</v>
      </c>
      <c r="G51" s="40" t="n">
        <f aca="false">成交明细!U27</f>
        <v>112</v>
      </c>
      <c r="H51" s="41" t="n">
        <f aca="false">成交明细!W27</f>
        <v>9879</v>
      </c>
    </row>
    <row r="52" customFormat="false" ht="15" hidden="false" customHeight="false" outlineLevel="0" collapsed="false">
      <c r="B52" s="37" t="n">
        <f aca="false">成交明细!D30</f>
        <v>46110</v>
      </c>
      <c r="C52" s="38" t="n">
        <f aca="false">成交明细!N30</f>
        <v>116.07</v>
      </c>
      <c r="D52" s="39" t="str">
        <f aca="false">成交明细!P30</f>
        <v>低</v>
      </c>
      <c r="E52" s="39" t="str">
        <f aca="false">成交明细!R30</f>
        <v>南</v>
      </c>
      <c r="F52" s="39" t="str">
        <f aca="false">成交明细!T30</f>
        <v>空房(不明)</v>
      </c>
      <c r="G52" s="40" t="n">
        <f aca="false">成交明细!U30</f>
        <v>137</v>
      </c>
      <c r="H52" s="41" t="n">
        <f aca="false">成交明细!W30</f>
        <v>11803</v>
      </c>
    </row>
    <row r="53" customFormat="false" ht="15" hidden="false" customHeight="false" outlineLevel="0" collapsed="false">
      <c r="B53" s="37" t="n">
        <f aca="false">成交明细!D31</f>
        <v>46096</v>
      </c>
      <c r="C53" s="38" t="n">
        <f aca="false">成交明细!N31</f>
        <v>109.99</v>
      </c>
      <c r="D53" s="39" t="str">
        <f aca="false">成交明细!P31</f>
        <v>高</v>
      </c>
      <c r="E53" s="39" t="str">
        <f aca="false">成交明细!R31</f>
        <v>南</v>
      </c>
      <c r="F53" s="39" t="str">
        <f aca="false">成交明细!T31</f>
        <v>有装修</v>
      </c>
      <c r="G53" s="40" t="n">
        <f aca="false">成交明细!U31</f>
        <v>100.5</v>
      </c>
      <c r="H53" s="41" t="n">
        <f aca="false">成交明细!W31</f>
        <v>9137</v>
      </c>
    </row>
    <row r="54" customFormat="false" ht="15" hidden="false" customHeight="false" outlineLevel="0" collapsed="false">
      <c r="B54" s="37" t="n">
        <f aca="false">成交明细!D34</f>
        <v>46087</v>
      </c>
      <c r="C54" s="38" t="n">
        <f aca="false">成交明细!N34</f>
        <v>113.37</v>
      </c>
      <c r="D54" s="39" t="str">
        <f aca="false">成交明细!P34</f>
        <v>低</v>
      </c>
      <c r="E54" s="39" t="str">
        <f aca="false">成交明细!R34</f>
        <v>南</v>
      </c>
      <c r="F54" s="39" t="str">
        <f aca="false">成交明细!T34</f>
        <v>有装修</v>
      </c>
      <c r="G54" s="40" t="n">
        <f aca="false">成交明细!U34</f>
        <v>148.4</v>
      </c>
      <c r="H54" s="41" t="n">
        <f aca="false">成交明细!W34</f>
        <v>13090</v>
      </c>
    </row>
    <row r="55" customFormat="false" ht="15" hidden="false" customHeight="false" outlineLevel="0" collapsed="false">
      <c r="B55" s="37" t="n">
        <f aca="false">成交明细!D35</f>
        <v>46084</v>
      </c>
      <c r="C55" s="38" t="n">
        <f aca="false">成交明细!N35</f>
        <v>109.99</v>
      </c>
      <c r="D55" s="39" t="str">
        <f aca="false">成交明细!P35</f>
        <v>高</v>
      </c>
      <c r="E55" s="39" t="str">
        <f aca="false">成交明细!R35</f>
        <v>南</v>
      </c>
      <c r="F55" s="39" t="str">
        <f aca="false">成交明细!T35</f>
        <v>有装修</v>
      </c>
      <c r="G55" s="40" t="n">
        <f aca="false">成交明细!U35</f>
        <v>121.8</v>
      </c>
      <c r="H55" s="41" t="n">
        <f aca="false">成交明细!W35</f>
        <v>11074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1" t="s">
        <v>167</v>
      </c>
    </row>
    <row r="2" customFormat="false" ht="31.5" hidden="false" customHeight="true" outlineLevel="0" collapsed="false">
      <c r="A2" s="42" t="s">
        <v>168</v>
      </c>
      <c r="B2" s="42"/>
      <c r="C2" s="42"/>
      <c r="D2" s="42"/>
      <c r="E2" s="42"/>
      <c r="F2" s="42"/>
      <c r="G2" s="42"/>
      <c r="H2" s="42"/>
    </row>
    <row r="4" customFormat="false" ht="15" hidden="false" customHeight="false" outlineLevel="0" collapsed="false">
      <c r="A4" s="22" t="s">
        <v>169</v>
      </c>
    </row>
    <row r="5" customFormat="false" ht="15" hidden="false" customHeight="false" outlineLevel="0" collapsed="false">
      <c r="A5" s="24" t="s">
        <v>170</v>
      </c>
      <c r="B5" s="40" t="n">
        <f aca="false">本案估值!D30</f>
        <v>133.958</v>
      </c>
      <c r="C5" s="19" t="s">
        <v>171</v>
      </c>
    </row>
    <row r="6" customFormat="false" ht="15" hidden="false" customHeight="false" outlineLevel="0" collapsed="false">
      <c r="A6" s="24" t="s">
        <v>172</v>
      </c>
      <c r="B6" s="38" t="n">
        <f aca="false">本案估值!C5</f>
        <v>110</v>
      </c>
      <c r="C6" s="19" t="s">
        <v>173</v>
      </c>
    </row>
    <row r="7" customFormat="false" ht="15" hidden="false" customHeight="false" outlineLevel="0" collapsed="false">
      <c r="A7" s="24" t="s">
        <v>174</v>
      </c>
      <c r="B7" s="32" t="n">
        <v>0.02</v>
      </c>
      <c r="C7" s="19" t="s">
        <v>175</v>
      </c>
    </row>
    <row r="8" customFormat="false" ht="15" hidden="false" customHeight="false" outlineLevel="0" collapsed="false">
      <c r="A8" s="24" t="s">
        <v>176</v>
      </c>
      <c r="B8" s="32" t="n">
        <v>0.01</v>
      </c>
      <c r="C8" s="19" t="s">
        <v>177</v>
      </c>
    </row>
    <row r="9" customFormat="false" ht="15" hidden="false" customHeight="false" outlineLevel="0" collapsed="false">
      <c r="A9" s="24" t="s">
        <v>178</v>
      </c>
      <c r="B9" s="28" t="n">
        <v>3</v>
      </c>
      <c r="C9" s="19" t="s">
        <v>179</v>
      </c>
    </row>
    <row r="10" customFormat="false" ht="15" hidden="false" customHeight="false" outlineLevel="0" collapsed="false">
      <c r="A10" s="24" t="s">
        <v>180</v>
      </c>
      <c r="B10" s="43" t="n">
        <v>3000</v>
      </c>
      <c r="C10" s="19" t="s">
        <v>181</v>
      </c>
    </row>
    <row r="11" customFormat="false" ht="15" hidden="false" customHeight="false" outlineLevel="0" collapsed="false">
      <c r="A11" s="24" t="s">
        <v>182</v>
      </c>
      <c r="B11" s="44" t="n">
        <v>1</v>
      </c>
      <c r="C11" s="19" t="s">
        <v>183</v>
      </c>
    </row>
    <row r="12" customFormat="false" ht="15" hidden="false" customHeight="false" outlineLevel="0" collapsed="false">
      <c r="A12" s="24" t="s">
        <v>184</v>
      </c>
      <c r="B12" s="25" t="n">
        <v>2.8</v>
      </c>
      <c r="C12" s="19" t="s">
        <v>185</v>
      </c>
    </row>
    <row r="13" customFormat="false" ht="15" hidden="false" customHeight="false" outlineLevel="0" collapsed="false">
      <c r="A13" s="24" t="s">
        <v>186</v>
      </c>
      <c r="B13" s="43" t="n">
        <v>3000</v>
      </c>
      <c r="C13" s="19" t="s">
        <v>183</v>
      </c>
    </row>
    <row r="14" customFormat="false" ht="15" hidden="false" customHeight="false" outlineLevel="0" collapsed="false">
      <c r="A14" s="24" t="s">
        <v>187</v>
      </c>
      <c r="B14" s="32" t="n">
        <v>0.02</v>
      </c>
      <c r="C14" s="19" t="s">
        <v>188</v>
      </c>
    </row>
    <row r="16" customFormat="false" ht="15" hidden="false" customHeight="false" outlineLevel="0" collapsed="false">
      <c r="A16" s="22" t="s">
        <v>189</v>
      </c>
    </row>
    <row r="17" customFormat="false" ht="15" hidden="false" customHeight="false" outlineLevel="0" collapsed="false">
      <c r="A17" s="24" t="s">
        <v>190</v>
      </c>
      <c r="B17" s="8" t="n">
        <f aca="false">(B10*(12-B11)-B12*B6*12-B13)/10000</f>
        <v>2.6304</v>
      </c>
      <c r="C17" s="19" t="s">
        <v>191</v>
      </c>
    </row>
    <row r="18" customFormat="false" ht="15" hidden="false" customHeight="false" outlineLevel="0" collapsed="false">
      <c r="A18" s="24" t="s">
        <v>192</v>
      </c>
      <c r="B18" s="45" t="n">
        <f aca="false">B17/B5</f>
        <v>0.0196360053150988</v>
      </c>
      <c r="C18" s="19" t="s">
        <v>193</v>
      </c>
    </row>
    <row r="19" customFormat="false" ht="15" hidden="false" customHeight="false" outlineLevel="0" collapsed="false">
      <c r="A19" s="24" t="s">
        <v>194</v>
      </c>
      <c r="B19" s="9" t="n">
        <f aca="false">B5*(1-B7)*(1-B8)*(1+B14)^B9</f>
        <v>137.921013686333</v>
      </c>
      <c r="C19" s="19"/>
    </row>
    <row r="20" customFormat="false" ht="15" hidden="false" customHeight="false" outlineLevel="0" collapsed="false">
      <c r="A20" s="22" t="s">
        <v>195</v>
      </c>
      <c r="B20" s="46" t="n">
        <f aca="false">((1+B14)^B9-B17*B9/(B5*(1-B7)*(1-B8)))^(1/B9)-1</f>
        <v>0.000163508498415066</v>
      </c>
      <c r="C20" s="19" t="s">
        <v>196</v>
      </c>
    </row>
    <row r="22" customFormat="false" ht="15" hidden="false" customHeight="false" outlineLevel="0" collapsed="false">
      <c r="A22" s="22" t="s">
        <v>197</v>
      </c>
    </row>
    <row r="23" customFormat="false" ht="30" hidden="false" customHeight="true" outlineLevel="0" collapsed="false">
      <c r="A23" s="4" t="s">
        <v>198</v>
      </c>
      <c r="B23" s="20" t="s">
        <v>199</v>
      </c>
      <c r="C23" s="4" t="s">
        <v>200</v>
      </c>
      <c r="D23" s="4" t="s">
        <v>201</v>
      </c>
      <c r="E23" s="4" t="s">
        <v>202</v>
      </c>
      <c r="F23" s="4" t="s">
        <v>203</v>
      </c>
    </row>
    <row r="24" customFormat="false" ht="15" hidden="false" customHeight="false" outlineLevel="0" collapsed="false">
      <c r="A24" s="47" t="n">
        <v>-0.06</v>
      </c>
      <c r="B24" s="9" t="n">
        <f aca="false">$B$5*(1+A24)^$B$9</f>
        <v>111.263371472</v>
      </c>
      <c r="C24" s="9" t="n">
        <f aca="false">B24*(1-$B$7)*(1-$B$8)+$B$17*$B$9</f>
        <v>115.838923002134</v>
      </c>
      <c r="D24" s="9" t="n">
        <f aca="false">$B$19</f>
        <v>137.921013686333</v>
      </c>
      <c r="E24" s="48" t="n">
        <f aca="false">C24-D24</f>
        <v>-22.0820906841984</v>
      </c>
      <c r="F24" s="6" t="str">
        <f aca="false">IF(E24&gt;0,"持有占优","出售占优")</f>
        <v>出售占优</v>
      </c>
    </row>
    <row r="25" customFormat="false" ht="15" hidden="false" customHeight="false" outlineLevel="0" collapsed="false">
      <c r="A25" s="47" t="n">
        <v>-0.04</v>
      </c>
      <c r="B25" s="9" t="n">
        <f aca="false">$B$5*(1+A25)^$B$9</f>
        <v>118.517465088</v>
      </c>
      <c r="C25" s="9" t="n">
        <f aca="false">B25*(1-$B$7)*(1-$B$8)+$B$17*$B$9</f>
        <v>122.876844628378</v>
      </c>
      <c r="D25" s="9" t="n">
        <f aca="false">$B$19</f>
        <v>137.921013686333</v>
      </c>
      <c r="E25" s="48" t="n">
        <f aca="false">C25-D25</f>
        <v>-15.0441690579552</v>
      </c>
      <c r="F25" s="6" t="str">
        <f aca="false">IF(E25&gt;0,"持有占优","出售占优")</f>
        <v>出售占优</v>
      </c>
    </row>
    <row r="26" customFormat="false" ht="15" hidden="false" customHeight="false" outlineLevel="0" collapsed="false">
      <c r="A26" s="47" t="n">
        <v>-0.02</v>
      </c>
      <c r="B26" s="9" t="n">
        <f aca="false">$B$5*(1+A26)^$B$9</f>
        <v>126.080197936</v>
      </c>
      <c r="C26" s="9" t="n">
        <f aca="false">B26*(1-$B$7)*(1-$B$8)+$B$17*$B$9</f>
        <v>130.214208037507</v>
      </c>
      <c r="D26" s="9" t="n">
        <f aca="false">$B$19</f>
        <v>137.921013686333</v>
      </c>
      <c r="E26" s="48" t="n">
        <f aca="false">C26-D26</f>
        <v>-7.70680564882565</v>
      </c>
      <c r="F26" s="6" t="str">
        <f aca="false">IF(E26&gt;0,"持有占优","出售占优")</f>
        <v>出售占优</v>
      </c>
    </row>
    <row r="27" customFormat="false" ht="15" hidden="false" customHeight="false" outlineLevel="0" collapsed="false">
      <c r="A27" s="47" t="n">
        <v>0</v>
      </c>
      <c r="B27" s="9" t="n">
        <f aca="false">$B$5*(1+A27)^$B$9</f>
        <v>133.958</v>
      </c>
      <c r="C27" s="9" t="n">
        <f aca="false">B27*(1-$B$7)*(1-$B$8)+$B$17*$B$9</f>
        <v>137.8572516</v>
      </c>
      <c r="D27" s="9" t="n">
        <f aca="false">$B$19</f>
        <v>137.921013686333</v>
      </c>
      <c r="E27" s="48" t="n">
        <f aca="false">C27-D27</f>
        <v>-0.0637620863328152</v>
      </c>
      <c r="F27" s="6" t="str">
        <f aca="false">IF(E27&gt;0,"持有占优","出售占优")</f>
        <v>出售占优</v>
      </c>
    </row>
    <row r="28" customFormat="false" ht="15" hidden="false" customHeight="false" outlineLevel="0" collapsed="false">
      <c r="A28" s="47" t="n">
        <v>0.02</v>
      </c>
      <c r="B28" s="9" t="n">
        <f aca="false">$B$5*(1+A28)^$B$9</f>
        <v>142.157301264</v>
      </c>
      <c r="C28" s="9" t="n">
        <f aca="false">B28*(1-$B$7)*(1-$B$8)+$B$17*$B$9</f>
        <v>145.812213686333</v>
      </c>
      <c r="D28" s="9" t="n">
        <f aca="false">$B$19</f>
        <v>137.921013686333</v>
      </c>
      <c r="E28" s="48" t="n">
        <f aca="false">C28-D28</f>
        <v>7.8912</v>
      </c>
      <c r="F28" s="6" t="str">
        <f aca="false">IF(E28&gt;0,"持有占优","出售占优")</f>
        <v>持有占优</v>
      </c>
    </row>
    <row r="29" customFormat="false" ht="15" hidden="false" customHeight="false" outlineLevel="0" collapsed="false">
      <c r="A29" s="47" t="n">
        <v>0.04</v>
      </c>
      <c r="B29" s="9" t="n">
        <f aca="false">$B$5*(1+A29)^$B$9</f>
        <v>150.684531712</v>
      </c>
      <c r="C29" s="9" t="n">
        <f aca="false">B29*(1-$B$7)*(1-$B$8)+$B$17*$B$9</f>
        <v>154.085332666982</v>
      </c>
      <c r="D29" s="9" t="n">
        <f aca="false">$B$19</f>
        <v>137.921013686333</v>
      </c>
      <c r="E29" s="48" t="n">
        <f aca="false">C29-D29</f>
        <v>16.1643189806496</v>
      </c>
      <c r="F29" s="6" t="str">
        <f aca="false">IF(E29&gt;0,"持有占优","出售占优")</f>
        <v>持有占优</v>
      </c>
    </row>
    <row r="31" customFormat="false" ht="30" hidden="false" customHeight="true" outlineLevel="0" collapsed="false">
      <c r="A31" s="42" t="s">
        <v>204</v>
      </c>
      <c r="B31" s="42"/>
      <c r="C31" s="42"/>
      <c r="D31" s="42"/>
      <c r="E31" s="42"/>
      <c r="F31" s="42"/>
    </row>
  </sheetData>
  <mergeCells count="2">
    <mergeCell ref="A2:H2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2026-09-30T18:16:56Z</dcterms:created>
  <dc:creator>openpyxl</dc:creator>
  <dc:description/>
  <dc:language>en-US</dc:language>
  <cp:lastModifiedBy/>
  <dcterms:modified xsi:type="dcterms:W3CDTF">2026-09-30T18:16:59Z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